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codeName="ThisWorkbook" defaultThemeVersion="124226"/>
  <xr:revisionPtr revIDLastSave="0" documentId="13_ncr:1_{656CAB55-2010-47E4-B0A8-865735BAA052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メイン" sheetId="1" r:id="rId1"/>
    <sheet name="IPv4NW" sheetId="3" r:id="rId2"/>
    <sheet name="IPv6NW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10" l="1"/>
  <c r="F16" i="10"/>
  <c r="F17" i="10"/>
  <c r="F18" i="10"/>
  <c r="F19" i="10"/>
  <c r="F14" i="10"/>
  <c r="F37" i="10" l="1"/>
  <c r="G37" i="10"/>
  <c r="H37" i="10"/>
  <c r="F38" i="10"/>
  <c r="G38" i="10"/>
  <c r="H38" i="10"/>
  <c r="F39" i="10"/>
  <c r="G39" i="10"/>
  <c r="H39" i="10"/>
  <c r="F40" i="10"/>
  <c r="G40" i="10"/>
  <c r="H40" i="10"/>
  <c r="F41" i="10"/>
  <c r="G41" i="10"/>
  <c r="H41" i="10"/>
  <c r="F42" i="10"/>
  <c r="G42" i="10"/>
  <c r="H42" i="10"/>
  <c r="F43" i="10"/>
  <c r="G43" i="10"/>
  <c r="H43" i="10"/>
  <c r="F44" i="10"/>
  <c r="G44" i="10"/>
  <c r="H44" i="10"/>
  <c r="G15" i="10"/>
  <c r="H15" i="10"/>
  <c r="G16" i="10"/>
  <c r="H16" i="10"/>
  <c r="G17" i="10"/>
  <c r="H17" i="10"/>
  <c r="G18" i="10"/>
  <c r="H18" i="10"/>
  <c r="G19" i="10"/>
  <c r="H19" i="10"/>
  <c r="F20" i="10"/>
  <c r="G20" i="10"/>
  <c r="H20" i="10"/>
  <c r="F21" i="10"/>
  <c r="G21" i="10"/>
  <c r="H21" i="10"/>
  <c r="F22" i="10"/>
  <c r="G22" i="10"/>
  <c r="H22" i="10"/>
  <c r="F23" i="10"/>
  <c r="G23" i="10"/>
  <c r="H23" i="10"/>
  <c r="F24" i="10"/>
  <c r="G24" i="10"/>
  <c r="H24" i="10"/>
  <c r="F25" i="10"/>
  <c r="G25" i="10"/>
  <c r="H25" i="10"/>
  <c r="F26" i="10"/>
  <c r="G26" i="10"/>
  <c r="H26" i="10"/>
  <c r="F27" i="10"/>
  <c r="G27" i="10"/>
  <c r="H27" i="10"/>
  <c r="F28" i="10"/>
  <c r="G28" i="10"/>
  <c r="H28" i="10"/>
  <c r="F29" i="10"/>
  <c r="G29" i="10"/>
  <c r="H29" i="10"/>
  <c r="F30" i="10"/>
  <c r="G30" i="10"/>
  <c r="H30" i="10"/>
  <c r="F31" i="10"/>
  <c r="G31" i="10"/>
  <c r="H31" i="10"/>
  <c r="F32" i="10"/>
  <c r="G32" i="10"/>
  <c r="H32" i="10"/>
  <c r="F33" i="10"/>
  <c r="G33" i="10"/>
  <c r="H33" i="10"/>
  <c r="F34" i="10"/>
  <c r="G34" i="10"/>
  <c r="H34" i="10"/>
  <c r="F35" i="10"/>
  <c r="G35" i="10"/>
  <c r="H35" i="10"/>
  <c r="F36" i="10"/>
  <c r="G36" i="10"/>
  <c r="H36" i="10"/>
  <c r="H14" i="10"/>
  <c r="G14" i="10"/>
  <c r="F5" i="10" l="1"/>
  <c r="G5" i="10"/>
  <c r="H5" i="10"/>
  <c r="F6" i="10"/>
  <c r="G6" i="10"/>
  <c r="H6" i="10"/>
  <c r="F7" i="10"/>
  <c r="G7" i="10"/>
  <c r="H7" i="10"/>
  <c r="F8" i="10"/>
  <c r="G8" i="10"/>
  <c r="H8" i="10"/>
  <c r="F9" i="10"/>
  <c r="G9" i="10"/>
  <c r="H9" i="10"/>
  <c r="F10" i="10"/>
  <c r="G10" i="10"/>
  <c r="H10" i="10"/>
  <c r="H4" i="10"/>
  <c r="G4" i="10"/>
  <c r="F4" i="10"/>
  <c r="C1" i="10"/>
  <c r="S46" i="3" l="1"/>
  <c r="Q46" i="3"/>
  <c r="M46" i="3"/>
  <c r="S45" i="3"/>
  <c r="Q45" i="3"/>
  <c r="M45" i="3"/>
  <c r="S44" i="3"/>
  <c r="Q44" i="3"/>
  <c r="M44" i="3"/>
  <c r="S43" i="3"/>
  <c r="Q43" i="3"/>
  <c r="M43" i="3"/>
  <c r="S42" i="3"/>
  <c r="Q42" i="3"/>
  <c r="M42" i="3"/>
  <c r="S41" i="3"/>
  <c r="Q41" i="3"/>
  <c r="M41" i="3"/>
  <c r="S40" i="3"/>
  <c r="Q40" i="3"/>
  <c r="M40" i="3"/>
  <c r="S39" i="3"/>
  <c r="Q39" i="3"/>
  <c r="M39" i="3"/>
  <c r="S38" i="3"/>
  <c r="Q38" i="3"/>
  <c r="M38" i="3"/>
  <c r="S37" i="3"/>
  <c r="Q37" i="3"/>
  <c r="M37" i="3"/>
  <c r="S36" i="3"/>
  <c r="Q36" i="3"/>
  <c r="M36" i="3"/>
  <c r="S35" i="3"/>
  <c r="Q35" i="3"/>
  <c r="M35" i="3"/>
  <c r="S34" i="3"/>
  <c r="Q34" i="3"/>
  <c r="M34" i="3"/>
  <c r="S33" i="3"/>
  <c r="Q33" i="3"/>
  <c r="M33" i="3"/>
  <c r="S32" i="3"/>
  <c r="Q32" i="3"/>
  <c r="M32" i="3"/>
  <c r="C1" i="3" l="1"/>
  <c r="D6" i="3"/>
  <c r="D5" i="3"/>
  <c r="D4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L20" i="3" l="1"/>
  <c r="L21" i="3"/>
  <c r="L22" i="3"/>
  <c r="L23" i="3"/>
  <c r="L24" i="3"/>
  <c r="L25" i="3"/>
  <c r="L26" i="3"/>
  <c r="L27" i="3"/>
  <c r="L28" i="3"/>
  <c r="G28" i="3" l="1"/>
  <c r="F28" i="3"/>
  <c r="F27" i="3"/>
  <c r="G27" i="3"/>
  <c r="F22" i="3"/>
  <c r="G22" i="3"/>
  <c r="G24" i="3"/>
  <c r="F24" i="3"/>
  <c r="G23" i="3"/>
  <c r="F23" i="3"/>
  <c r="G26" i="3"/>
  <c r="F26" i="3"/>
  <c r="G21" i="3"/>
  <c r="F21" i="3"/>
  <c r="G25" i="3"/>
  <c r="F25" i="3"/>
  <c r="G20" i="3"/>
  <c r="F20" i="3"/>
  <c r="L6" i="3"/>
  <c r="G6" i="3" s="1"/>
  <c r="H6" i="3"/>
  <c r="L11" i="3"/>
  <c r="L12" i="3"/>
  <c r="L13" i="3"/>
  <c r="H5" i="3"/>
  <c r="H4" i="3"/>
  <c r="G13" i="3" l="1"/>
  <c r="F13" i="3"/>
  <c r="G11" i="3"/>
  <c r="F11" i="3"/>
  <c r="G12" i="3"/>
  <c r="F12" i="3"/>
  <c r="F6" i="3"/>
  <c r="L5" i="3"/>
  <c r="F5" i="3" s="1"/>
  <c r="L14" i="3"/>
  <c r="L15" i="3"/>
  <c r="L16" i="3"/>
  <c r="L17" i="3"/>
  <c r="L18" i="3"/>
  <c r="L19" i="3"/>
  <c r="G15" i="3" l="1"/>
  <c r="F15" i="3"/>
  <c r="F17" i="3"/>
  <c r="G17" i="3"/>
  <c r="G18" i="3"/>
  <c r="F18" i="3"/>
  <c r="G19" i="3"/>
  <c r="F19" i="3"/>
  <c r="G16" i="3"/>
  <c r="F16" i="3"/>
  <c r="G14" i="3"/>
  <c r="F14" i="3"/>
  <c r="G5" i="3"/>
  <c r="L4" i="3"/>
  <c r="G4" i="3" l="1"/>
  <c r="F4" i="3"/>
</calcChain>
</file>

<file path=xl/sharedStrings.xml><?xml version="1.0" encoding="utf-8"?>
<sst xmlns="http://schemas.openxmlformats.org/spreadsheetml/2006/main" count="161" uniqueCount="46">
  <si>
    <t>ネットワーク割当表</t>
    <rPh sb="6" eb="8">
      <t>ワリアテ</t>
    </rPh>
    <rPh sb="8" eb="9">
      <t>ヒョウ</t>
    </rPh>
    <phoneticPr fontId="1"/>
  </si>
  <si>
    <t>機器別分類表</t>
    <rPh sb="0" eb="2">
      <t>キキ</t>
    </rPh>
    <rPh sb="2" eb="3">
      <t>ベツ</t>
    </rPh>
    <rPh sb="3" eb="5">
      <t>ブンルイ</t>
    </rPh>
    <rPh sb="5" eb="6">
      <t>ヒョウ</t>
    </rPh>
    <phoneticPr fontId="1"/>
  </si>
  <si>
    <t>大分類</t>
    <rPh sb="0" eb="3">
      <t>ダイブンルイ</t>
    </rPh>
    <phoneticPr fontId="1"/>
  </si>
  <si>
    <t>小分類</t>
    <rPh sb="0" eb="3">
      <t>ショウブンルイ</t>
    </rPh>
    <phoneticPr fontId="1"/>
  </si>
  <si>
    <t>IPアドレス</t>
    <phoneticPr fontId="1"/>
  </si>
  <si>
    <t>開始IP</t>
    <rPh sb="0" eb="2">
      <t>カイシ</t>
    </rPh>
    <phoneticPr fontId="1"/>
  </si>
  <si>
    <t>終了IP</t>
    <rPh sb="0" eb="2">
      <t>シュウリョウ</t>
    </rPh>
    <phoneticPr fontId="1"/>
  </si>
  <si>
    <t>管理用</t>
    <rPh sb="0" eb="3">
      <t>カンリヨウ</t>
    </rPh>
    <phoneticPr fontId="1"/>
  </si>
  <si>
    <t>マスク</t>
    <phoneticPr fontId="1"/>
  </si>
  <si>
    <t>分野</t>
    <rPh sb="0" eb="2">
      <t>ブンヤ</t>
    </rPh>
    <phoneticPr fontId="1"/>
  </si>
  <si>
    <t>IP個数</t>
    <rPh sb="2" eb="4">
      <t>コスウ</t>
    </rPh>
    <phoneticPr fontId="1"/>
  </si>
  <si>
    <t>マスク</t>
    <phoneticPr fontId="1"/>
  </si>
  <si>
    <t>種別</t>
    <rPh sb="0" eb="2">
      <t>シュベツ</t>
    </rPh>
    <phoneticPr fontId="1"/>
  </si>
  <si>
    <t>静的</t>
    <rPh sb="0" eb="2">
      <t>セイテキ</t>
    </rPh>
    <phoneticPr fontId="1"/>
  </si>
  <si>
    <t>動的</t>
    <rPh sb="0" eb="2">
      <t>ドウテキ</t>
    </rPh>
    <phoneticPr fontId="1"/>
  </si>
  <si>
    <t>セグメント管理表</t>
    <rPh sb="5" eb="7">
      <t>カンリ</t>
    </rPh>
    <rPh sb="7" eb="8">
      <t>ヒョウ</t>
    </rPh>
    <phoneticPr fontId="1"/>
  </si>
  <si>
    <t>IPアドレス</t>
    <phoneticPr fontId="1"/>
  </si>
  <si>
    <t>VLAN ID</t>
    <phoneticPr fontId="1"/>
  </si>
  <si>
    <t>VLAN ID</t>
    <phoneticPr fontId="1"/>
  </si>
  <si>
    <t>説明</t>
    <rPh sb="0" eb="2">
      <t>セツメイ</t>
    </rPh>
    <phoneticPr fontId="1"/>
  </si>
  <si>
    <t>所属</t>
    <rPh sb="0" eb="2">
      <t>ショゾク</t>
    </rPh>
    <phoneticPr fontId="1"/>
  </si>
  <si>
    <t>備考</t>
    <rPh sb="0" eb="2">
      <t>ビコウ</t>
    </rPh>
    <phoneticPr fontId="1"/>
  </si>
  <si>
    <t>場所</t>
    <rPh sb="0" eb="2">
      <t>バショ</t>
    </rPh>
    <phoneticPr fontId="1"/>
  </si>
  <si>
    <t>esxcfg-vswitch --add-pg=</t>
    <phoneticPr fontId="1"/>
  </si>
  <si>
    <t>esxcfg-vswitch --vlan=</t>
    <phoneticPr fontId="1"/>
  </si>
  <si>
    <t xml:space="preserve"> vSwitch0</t>
    <phoneticPr fontId="1"/>
  </si>
  <si>
    <t xml:space="preserve"> --pg=</t>
    <phoneticPr fontId="1"/>
  </si>
  <si>
    <t>エリアナンバー</t>
    <phoneticPr fontId="1"/>
  </si>
  <si>
    <t>.</t>
    <phoneticPr fontId="1"/>
  </si>
  <si>
    <t>機能一覧</t>
    <rPh sb="0" eb="2">
      <t>キノウ</t>
    </rPh>
    <rPh sb="2" eb="4">
      <t>イチラン</t>
    </rPh>
    <phoneticPr fontId="1"/>
  </si>
  <si>
    <t>ExcelIPMI</t>
    <phoneticPr fontId="1"/>
  </si>
  <si>
    <t>ネットワーク割当表</t>
    <rPh sb="6" eb="7">
      <t>ワ</t>
    </rPh>
    <rPh sb="7" eb="8">
      <t>ア</t>
    </rPh>
    <rPh sb="8" eb="9">
      <t>ヒョウ</t>
    </rPh>
    <phoneticPr fontId="1"/>
  </si>
  <si>
    <t>ネットワークマネージャー</t>
    <phoneticPr fontId="1"/>
  </si>
  <si>
    <t>更新履歴（直近10件）</t>
    <rPh sb="0" eb="2">
      <t>コウシン</t>
    </rPh>
    <rPh sb="2" eb="4">
      <t>リレキ</t>
    </rPh>
    <rPh sb="5" eb="7">
      <t>チョッキン</t>
    </rPh>
    <rPh sb="9" eb="10">
      <t>ケン</t>
    </rPh>
    <phoneticPr fontId="1"/>
  </si>
  <si>
    <t>現行Ver</t>
    <rPh sb="0" eb="2">
      <t>ゲンコウ</t>
    </rPh>
    <phoneticPr fontId="1"/>
  </si>
  <si>
    <t>v1.00</t>
    <phoneticPr fontId="1"/>
  </si>
  <si>
    <t>ESXi(6.0以降)向けコンフィグ</t>
    <rPh sb="8" eb="10">
      <t>イコウ</t>
    </rPh>
    <rPh sb="11" eb="12">
      <t>ム</t>
    </rPh>
    <phoneticPr fontId="1"/>
  </si>
  <si>
    <t>/64 IP個数</t>
    <rPh sb="6" eb="8">
      <t>コスウ</t>
    </rPh>
    <phoneticPr fontId="1"/>
  </si>
  <si>
    <t>v3.00</t>
    <phoneticPr fontId="1"/>
  </si>
  <si>
    <t>Version 2020.07</t>
    <phoneticPr fontId="1"/>
  </si>
  <si>
    <t>IPv6アドレスに対応</t>
    <rPh sb="9" eb="11">
      <t>タイオウ</t>
    </rPh>
    <phoneticPr fontId="1"/>
  </si>
  <si>
    <t>IPv4アドレスを指定した場合、次のセルに候補となるIPアドレスを表示する機能を追加</t>
    <rPh sb="9" eb="11">
      <t>シテイ</t>
    </rPh>
    <rPh sb="13" eb="15">
      <t>バアイ</t>
    </rPh>
    <rPh sb="16" eb="17">
      <t>ツギ</t>
    </rPh>
    <rPh sb="21" eb="23">
      <t>コウホ</t>
    </rPh>
    <rPh sb="33" eb="35">
      <t>ヒョウジ</t>
    </rPh>
    <rPh sb="37" eb="39">
      <t>キノウ</t>
    </rPh>
    <rPh sb="40" eb="42">
      <t>ツイカ</t>
    </rPh>
    <phoneticPr fontId="1"/>
  </si>
  <si>
    <t>VLAN入力時表示される設定例にESXiの例を追加</t>
    <rPh sb="4" eb="7">
      <t>ニュウリョクジ</t>
    </rPh>
    <rPh sb="7" eb="9">
      <t>ヒョウジ</t>
    </rPh>
    <rPh sb="12" eb="14">
      <t>セッテイ</t>
    </rPh>
    <rPh sb="14" eb="15">
      <t>レイ</t>
    </rPh>
    <rPh sb="21" eb="22">
      <t>レイ</t>
    </rPh>
    <rPh sb="23" eb="25">
      <t>ツイカ</t>
    </rPh>
    <phoneticPr fontId="1"/>
  </si>
  <si>
    <t>fe00::1</t>
    <phoneticPr fontId="1"/>
  </si>
  <si>
    <t>fe20:9888:1111:1111::1111</t>
    <phoneticPr fontId="1"/>
  </si>
  <si>
    <t>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</si>
</sst>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  <font>
      <sz val="18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Fill="1" applyBorder="1"/>
    <xf numFmtId="0" fontId="0" fillId="0" borderId="3" xfId="0" applyBorder="1"/>
    <xf numFmtId="0" fontId="0" fillId="0" borderId="5" xfId="0" applyFill="1" applyBorder="1"/>
    <xf numFmtId="0" fontId="0" fillId="0" borderId="3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Fill="1" applyBorder="1"/>
    <xf numFmtId="0" fontId="0" fillId="0" borderId="0" xfId="0" applyFill="1" applyBorder="1" applyAlignment="1"/>
    <xf numFmtId="0" fontId="0" fillId="0" borderId="1" xfId="0" applyFill="1" applyBorder="1"/>
    <xf numFmtId="0" fontId="0" fillId="0" borderId="1" xfId="0" applyBorder="1"/>
    <xf numFmtId="0" fontId="0" fillId="0" borderId="2" xfId="0" applyFill="1" applyBorder="1"/>
    <xf numFmtId="0" fontId="4" fillId="0" borderId="0" xfId="0" applyFont="1"/>
    <xf numFmtId="0" fontId="4" fillId="0" borderId="0" xfId="0" applyFont="1" applyAlignment="1"/>
    <xf numFmtId="0" fontId="0" fillId="0" borderId="1" xfId="0" applyBorder="1" applyAlignment="1">
      <alignment horizontal="center"/>
    </xf>
    <xf numFmtId="0" fontId="5" fillId="0" borderId="3" xfId="0" applyFont="1" applyFill="1" applyBorder="1"/>
    <xf numFmtId="0" fontId="6" fillId="0" borderId="3" xfId="0" applyFont="1" applyFill="1" applyBorder="1"/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5" xfId="0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quotePrefix="1" applyFill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3" xfId="0" applyFill="1" applyBorder="1" applyAlignment="1"/>
    <xf numFmtId="0" fontId="0" fillId="0" borderId="15" xfId="0" applyFill="1" applyBorder="1" applyAlignment="1"/>
    <xf numFmtId="0" fontId="0" fillId="0" borderId="14" xfId="0" applyFill="1" applyBorder="1" applyAlignment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7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12" xfId="0" applyFont="1" applyFill="1" applyBorder="1" applyAlignment="1"/>
    <xf numFmtId="0" fontId="2" fillId="0" borderId="0" xfId="0" applyFont="1" applyFill="1"/>
    <xf numFmtId="0" fontId="3" fillId="0" borderId="0" xfId="0" applyFont="1" applyFill="1"/>
    <xf numFmtId="0" fontId="0" fillId="0" borderId="1" xfId="0" applyFill="1" applyBorder="1" applyAlignment="1">
      <alignment horizontal="center"/>
    </xf>
    <xf numFmtId="0" fontId="0" fillId="0" borderId="4" xfId="0" applyFill="1" applyBorder="1"/>
    <xf numFmtId="0" fontId="0" fillId="0" borderId="6" xfId="0" applyFill="1" applyBorder="1"/>
    <xf numFmtId="0" fontId="0" fillId="0" borderId="0" xfId="0" applyFill="1" applyBorder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/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7"/>
  <sheetViews>
    <sheetView tabSelected="1" workbookViewId="0">
      <selection activeCell="E50" sqref="E50"/>
    </sheetView>
  </sheetViews>
  <sheetFormatPr defaultColWidth="9.625" defaultRowHeight="13.5" x14ac:dyDescent="0.15"/>
  <sheetData>
    <row r="1" spans="1:8" ht="47.25" customHeight="1" x14ac:dyDescent="0.3">
      <c r="A1" s="12" t="s">
        <v>32</v>
      </c>
      <c r="B1" s="12"/>
      <c r="C1" s="12"/>
      <c r="H1" s="11" t="s">
        <v>39</v>
      </c>
    </row>
    <row r="4" spans="1:8" x14ac:dyDescent="0.15">
      <c r="B4" t="s">
        <v>33</v>
      </c>
    </row>
    <row r="5" spans="1:8" x14ac:dyDescent="0.15">
      <c r="B5" t="s">
        <v>40</v>
      </c>
    </row>
    <row r="6" spans="1:8" x14ac:dyDescent="0.15">
      <c r="B6" t="s">
        <v>41</v>
      </c>
    </row>
    <row r="7" spans="1:8" x14ac:dyDescent="0.15">
      <c r="B7" t="s">
        <v>42</v>
      </c>
    </row>
    <row r="15" spans="1:8" x14ac:dyDescent="0.15">
      <c r="B15" t="s">
        <v>29</v>
      </c>
      <c r="D15" t="s">
        <v>34</v>
      </c>
    </row>
    <row r="16" spans="1:8" x14ac:dyDescent="0.15">
      <c r="B16" t="s">
        <v>30</v>
      </c>
      <c r="D16" t="s">
        <v>35</v>
      </c>
    </row>
    <row r="17" spans="2:4" x14ac:dyDescent="0.15">
      <c r="B17" t="s">
        <v>31</v>
      </c>
      <c r="D17" t="s">
        <v>38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51"/>
  <sheetViews>
    <sheetView zoomScaleNormal="100" workbookViewId="0">
      <selection activeCell="G20" sqref="G20"/>
    </sheetView>
  </sheetViews>
  <sheetFormatPr defaultRowHeight="13.5" x14ac:dyDescent="0.15"/>
  <cols>
    <col min="1" max="1" width="13" style="18" bestFit="1" customWidth="1"/>
    <col min="2" max="2" width="14.625" style="18" bestFit="1" customWidth="1"/>
    <col min="3" max="3" width="7.25" style="18" bestFit="1" customWidth="1"/>
    <col min="4" max="4" width="9.5" style="18" bestFit="1" customWidth="1"/>
    <col min="5" max="5" width="6.5" style="18" bestFit="1" customWidth="1"/>
    <col min="6" max="6" width="10.625" style="18" customWidth="1"/>
    <col min="7" max="7" width="9.625" style="18" bestFit="1" customWidth="1"/>
    <col min="8" max="11" width="9" style="18"/>
    <col min="12" max="12" width="12.875" style="18" bestFit="1" customWidth="1"/>
    <col min="13" max="16384" width="9" style="18"/>
  </cols>
  <sheetData>
    <row r="1" spans="1:12" ht="21" x14ac:dyDescent="0.2">
      <c r="A1" s="51" t="s">
        <v>0</v>
      </c>
      <c r="B1" s="52"/>
      <c r="C1" s="51" t="str">
        <f>メイン!$D$17</f>
        <v>v3.00</v>
      </c>
      <c r="D1" s="52"/>
      <c r="E1" s="18" t="s">
        <v>22</v>
      </c>
      <c r="H1" s="18" t="s">
        <v>27</v>
      </c>
      <c r="J1" s="18">
        <v>20</v>
      </c>
    </row>
    <row r="2" spans="1:12" ht="14.25" thickBot="1" x14ac:dyDescent="0.2">
      <c r="J2" s="18" t="s">
        <v>28</v>
      </c>
    </row>
    <row r="3" spans="1:12" ht="14.25" thickBot="1" x14ac:dyDescent="0.2">
      <c r="B3" s="54" t="s">
        <v>15</v>
      </c>
      <c r="C3" s="55"/>
      <c r="D3" s="3" t="s">
        <v>4</v>
      </c>
      <c r="E3" s="3" t="s">
        <v>11</v>
      </c>
      <c r="F3" s="3" t="s">
        <v>5</v>
      </c>
      <c r="G3" s="3" t="s">
        <v>6</v>
      </c>
      <c r="H3" s="3" t="s">
        <v>10</v>
      </c>
      <c r="L3" s="18" t="s">
        <v>7</v>
      </c>
    </row>
    <row r="4" spans="1:12" x14ac:dyDescent="0.15">
      <c r="B4" s="53"/>
      <c r="C4" s="53"/>
      <c r="D4" s="24" t="str">
        <f>"10."&amp;J1&amp;".20.0"</f>
        <v>10.20.20.0</v>
      </c>
      <c r="E4" s="24">
        <v>20</v>
      </c>
      <c r="F4" s="24" t="str">
        <f>IF(L4&lt;&gt;"",_xlfn.BITAND(VALUE(LEFT(D4,SEARCH(".",D4,1)-1)),VALUE(LEFT(L4,SEARCH(".",L4,1)-1)))&amp;"."&amp;
_xlfn.BITAND(VALUE(MID(D4,SEARCH(".",D4,1)+1,SEARCH(".",D4,SEARCH(".",D4,1)+1)-SEARCH(".",D4,1)-1)),VALUE(MID(L4,SEARCH(".",L4,1)+1,SEARCH(".",L4,SEARCH(".",L4,1)+1)-SEARCH(".",L4,1)-1)))&amp;"."&amp;
_xlfn.BITAND(VALUE(MID(D4,SEARCH(".",D4,SEARCH(".",D4,1)+1)+1,SEARCH(".",D4,SEARCH(".",D4,SEARCH(".",D4,1)+1)+1)-SEARCH(".",D4,SEARCH(".",D4,1)+1)-1)),VALUE(MID(L4,SEARCH(".",L4,SEARCH(".",L4,1)+1)+1,SEARCH(".",L4,SEARCH(".",L4,SEARCH(".",L4,1)+1)+1)-SEARCH(".",L4,SEARCH(".",L4,1)+1)-1)))&amp;"."&amp;
_xlfn.BITAND(VALUE(RIGHT(D4,LEN(D4)-SEARCH(".",D4,SEARCH(".",D4,SEARCH(".",D4,1)+1)+1))),VALUE(RIGHT(L4,LEN(L4)-SEARCH(".",L4,SEARCH(".",L4,SEARCH(".",L4,1)+1)+1)))),"")</f>
        <v>10.20.16.0</v>
      </c>
      <c r="G4" s="24" t="str">
        <f>IF(L4&lt;&gt;"",_xlfn.BITOR(VALUE(LEFT(D4,SEARCH(".",D4,1)-1)),_xlfn.BITXOR(VALUE(LEFT(L4,SEARCH(".",L4,1)-1)),255))&amp;"."&amp;
_xlfn.BITOR(VALUE(MID(D4,SEARCH(".",D4,1)+1,SEARCH(".",D4,SEARCH(".",D4,1)+1)-SEARCH(".",D4,1)-1)),_xlfn.BITXOR(VALUE(MID(L4,SEARCH(".",L4,1)+1,SEARCH(".",L4,SEARCH(".",L4,1)+1)-SEARCH(".",L4,1)-1)),255))&amp;"."&amp;
_xlfn.BITOR(VALUE(MID(D4,SEARCH(".",D4,SEARCH(".",D4,1)+1)+1,SEARCH(".",D4,SEARCH(".",D4,SEARCH(".",D4,1)+1)+1)-SEARCH(".",D4,SEARCH(".",D4,1)+1)-1)),_xlfn.BITXOR(VALUE(MID(L4,SEARCH(".",L4,SEARCH(".",L4,1)+1)+1,SEARCH(".",L4,SEARCH(".",L4,SEARCH(".",L4,1)+1)+1)-SEARCH(".",L4,SEARCH(".",L4,1)+1)-1)),255))&amp;"."&amp;
_xlfn.BITOR(VALUE(RIGHT(D4,LEN(D4)-SEARCH(".",D4,SEARCH(".",D4,SEARCH(".",D4,1)+1)+1))),_xlfn.BITXOR(VALUE(RIGHT(L4,LEN(L4)-SEARCH(".",L4,SEARCH(".",L4,SEARCH(".",L4,1)+1)+1))),255)),"")</f>
        <v>10.20.31.255</v>
      </c>
      <c r="H4" s="24">
        <f>IF(E4&lt;&gt;0,2^(32-E4),"")</f>
        <v>4096</v>
      </c>
      <c r="L4" s="18" t="str">
        <f>IF(E4=1,"128.0.0.0",IF(E4=2,"192.0.0.0",IF(E4=3,"224.0.0.0",IF(E4=4,"240.0.0.0",IF(E4=5,"248.0.0.0",IF(E4=6,"252.0.0.0",IF(E4=7,"254.0.0.0",IF(E4=8,"255.0.0.0",IF(E4=9,"255.128.0.0",IF(E4=10,"255.192.0.0",IF(E4=11,"255.224.0.0",IF(E4=12,"255.240.0.0",IF(E4=13,"255.248.0.0",IF(E4=14,"255.252.0.0",IF(E4=15,"255.254.0.0",IF(E4=16,"255.255.0.0",IF(E4=17,"255.255.128.0",IF(E4=18,"255.255.192.0",IF(E4=19,"255.255.224.0",IF(E4=20,"255.255.240.0",IF(E4=21,"255.255.248.0",IF(E4=22,"255.255.252.0",IF(E4=23,"255.255.254.0",IF(E4=24,"255.255.255.0",IF(E4=25,"255.255.255.128",IF(E4=26,"255.255.255.192",IF(E4=27,"255.255.255.224",IF(E4=28,"255.255.255.240",IF(E4=29,"255.255.255.248",IF(E4=30,"255.255.255.252",IF(E4=31,"255.255.255.254",IF(E4=32,"255.255.255.255",""))))))))))))))))))))))))))))))))</f>
        <v>255.255.240.0</v>
      </c>
    </row>
    <row r="5" spans="1:12" x14ac:dyDescent="0.15">
      <c r="B5" s="53"/>
      <c r="C5" s="53"/>
      <c r="D5" s="24" t="str">
        <f>"10."&amp;J1&amp;".56.0"</f>
        <v>10.20.56.0</v>
      </c>
      <c r="E5" s="24">
        <v>20</v>
      </c>
      <c r="F5" s="24" t="str">
        <f>IF(L5&lt;&gt;"",_xlfn.BITAND(VALUE(LEFT(D5,SEARCH(".",D5,1)-1)),VALUE(LEFT(L5,SEARCH(".",L5,1)-1)))&amp;"."&amp;
_xlfn.BITAND(VALUE(MID(D5,SEARCH(".",D5,1)+1,SEARCH(".",D5,SEARCH(".",D5,1)+1)-SEARCH(".",D5,1)-1)),VALUE(MID(L5,SEARCH(".",L5,1)+1,SEARCH(".",L5,SEARCH(".",L5,1)+1)-SEARCH(".",L5,1)-1)))&amp;"."&amp;
_xlfn.BITAND(VALUE(MID(D5,SEARCH(".",D5,SEARCH(".",D5,1)+1)+1,SEARCH(".",D5,SEARCH(".",D5,SEARCH(".",D5,1)+1)+1)-SEARCH(".",D5,SEARCH(".",D5,1)+1)-1)),VALUE(MID(L5,SEARCH(".",L5,SEARCH(".",L5,1)+1)+1,SEARCH(".",L5,SEARCH(".",L5,SEARCH(".",L5,1)+1)+1)-SEARCH(".",L5,SEARCH(".",L5,1)+1)-1)))&amp;"."&amp;
_xlfn.BITAND(VALUE(RIGHT(D5,LEN(D5)-SEARCH(".",D5,SEARCH(".",D5,SEARCH(".",D5,1)+1)+1))),VALUE(RIGHT(L5,LEN(L5)-SEARCH(".",L5,SEARCH(".",L5,SEARCH(".",L5,1)+1)+1)))),"")</f>
        <v>10.20.48.0</v>
      </c>
      <c r="G5" s="24" t="str">
        <f>IF(L5&lt;&gt;"",_xlfn.BITOR(VALUE(LEFT(D5,SEARCH(".",D5,1)-1)),_xlfn.BITXOR(VALUE(LEFT(L5,SEARCH(".",L5,1)-1)),255))&amp;"."&amp;
_xlfn.BITOR(VALUE(MID(D5,SEARCH(".",D5,1)+1,SEARCH(".",D5,SEARCH(".",D5,1)+1)-SEARCH(".",D5,1)-1)),_xlfn.BITXOR(VALUE(MID(L5,SEARCH(".",L5,1)+1,SEARCH(".",L5,SEARCH(".",L5,1)+1)-SEARCH(".",L5,1)-1)),255))&amp;"."&amp;
_xlfn.BITOR(VALUE(MID(D5,SEARCH(".",D5,SEARCH(".",D5,1)+1)+1,SEARCH(".",D5,SEARCH(".",D5,SEARCH(".",D5,1)+1)+1)-SEARCH(".",D5,SEARCH(".",D5,1)+1)-1)),_xlfn.BITXOR(VALUE(MID(L5,SEARCH(".",L5,SEARCH(".",L5,1)+1)+1,SEARCH(".",L5,SEARCH(".",L5,SEARCH(".",L5,1)+1)+1)-SEARCH(".",L5,SEARCH(".",L5,1)+1)-1)),255))&amp;"."&amp;
_xlfn.BITOR(VALUE(RIGHT(D5,LEN(D5)-SEARCH(".",D5,SEARCH(".",D5,SEARCH(".",D5,1)+1)+1))),_xlfn.BITXOR(VALUE(RIGHT(L5,LEN(L5)-SEARCH(".",L5,SEARCH(".",L5,SEARCH(".",L5,1)+1)+1))),255)),"")</f>
        <v>10.20.63.255</v>
      </c>
      <c r="H5" s="24">
        <f>IF(E5&lt;&gt;0,2^(32-E5),"")</f>
        <v>4096</v>
      </c>
      <c r="L5" s="18" t="str">
        <f>IF(E5=1,"128.0.0.0",IF(E5=2,"192.0.0.0",IF(E5=3,"224.0.0.0",IF(E5=4,"240.0.0.0",IF(E5=5,"248.0.0.0",IF(E5=6,"252.0.0.0",IF(E5=7,"254.0.0.0",IF(E5=8,"255.0.0.0",IF(E5=9,"255.128.0.0",IF(E5=10,"255.192.0.0",IF(E5=11,"255.224.0.0",IF(E5=12,"255.240.0.0",IF(E5=13,"255.248.0.0",IF(E5=14,"255.252.0.0",IF(E5=15,"255.254.0.0",IF(E5=16,"255.255.0.0",IF(E5=17,"255.255.128.0",IF(E5=18,"255.255.192.0",IF(E5=19,"255.255.224.0",IF(E5=20,"255.255.240.0",IF(E5=21,"255.255.248.0",IF(E5=22,"255.255.252.0",IF(E5=23,"255.255.254.0",IF(E5=24,"255.255.255.0",IF(E5=25,"255.255.255.128",IF(E5=26,"255.255.255.192",IF(E5=27,"255.255.255.224",IF(E5=28,"255.255.255.240",IF(E5=29,"255.255.255.248",IF(E5=30,"255.255.255.252",IF(E5=31,"255.255.255.254",IF(E5=32,"255.255.255.255",""))))))))))))))))))))))))))))))))</f>
        <v>255.255.240.0</v>
      </c>
    </row>
    <row r="6" spans="1:12" x14ac:dyDescent="0.15">
      <c r="B6" s="53"/>
      <c r="C6" s="53"/>
      <c r="D6" s="25" t="str">
        <f>"10."&amp;J1&amp;".64.0"</f>
        <v>10.20.64.0</v>
      </c>
      <c r="E6" s="25">
        <v>20</v>
      </c>
      <c r="F6" s="25" t="str">
        <f>IF(L6&lt;&gt;"",_xlfn.BITAND(VALUE(LEFT(D6,SEARCH(".",D6,1)-1)),VALUE(LEFT(L6,SEARCH(".",L6,1)-1)))&amp;"."&amp;
_xlfn.BITAND(VALUE(MID(D6,SEARCH(".",D6,1)+1,SEARCH(".",D6,SEARCH(".",D6,1)+1)-SEARCH(".",D6,1)-1)),VALUE(MID(L6,SEARCH(".",L6,1)+1,SEARCH(".",L6,SEARCH(".",L6,1)+1)-SEARCH(".",L6,1)-1)))&amp;"."&amp;
_xlfn.BITAND(VALUE(MID(D6,SEARCH(".",D6,SEARCH(".",D6,1)+1)+1,SEARCH(".",D6,SEARCH(".",D6,SEARCH(".",D6,1)+1)+1)-SEARCH(".",D6,SEARCH(".",D6,1)+1)-1)),VALUE(MID(L6,SEARCH(".",L6,SEARCH(".",L6,1)+1)+1,SEARCH(".",L6,SEARCH(".",L6,SEARCH(".",L6,1)+1)+1)-SEARCH(".",L6,SEARCH(".",L6,1)+1)-1)))&amp;"."&amp;
_xlfn.BITAND(VALUE(RIGHT(D6,LEN(D6)-SEARCH(".",D6,SEARCH(".",D6,SEARCH(".",D6,1)+1)+1))),VALUE(RIGHT(L6,LEN(L6)-SEARCH(".",L6,SEARCH(".",L6,SEARCH(".",L6,1)+1)+1)))),"")</f>
        <v>10.20.64.0</v>
      </c>
      <c r="G6" s="25" t="str">
        <f>IF(L6&lt;&gt;"",_xlfn.BITOR(VALUE(LEFT(D6,SEARCH(".",D6,1)-1)),_xlfn.BITXOR(VALUE(LEFT(L6,SEARCH(".",L6,1)-1)),255))&amp;"."&amp;
_xlfn.BITOR(VALUE(MID(D6,SEARCH(".",D6,1)+1,SEARCH(".",D6,SEARCH(".",D6,1)+1)-SEARCH(".",D6,1)-1)),_xlfn.BITXOR(VALUE(MID(L6,SEARCH(".",L6,1)+1,SEARCH(".",L6,SEARCH(".",L6,1)+1)-SEARCH(".",L6,1)-1)),255))&amp;"."&amp;
_xlfn.BITOR(VALUE(MID(D6,SEARCH(".",D6,SEARCH(".",D6,1)+1)+1,SEARCH(".",D6,SEARCH(".",D6,SEARCH(".",D6,1)+1)+1)-SEARCH(".",D6,SEARCH(".",D6,1)+1)-1)),_xlfn.BITXOR(VALUE(MID(L6,SEARCH(".",L6,SEARCH(".",L6,1)+1)+1,SEARCH(".",L6,SEARCH(".",L6,SEARCH(".",L6,1)+1)+1)-SEARCH(".",L6,SEARCH(".",L6,1)+1)-1)),255))&amp;"."&amp;
_xlfn.BITOR(VALUE(RIGHT(D6,LEN(D6)-SEARCH(".",D6,SEARCH(".",D6,SEARCH(".",D6,1)+1)+1))),_xlfn.BITXOR(VALUE(RIGHT(L6,LEN(L6)-SEARCH(".",L6,SEARCH(".",L6,SEARCH(".",L6,1)+1)+1))),255)),"")</f>
        <v>10.20.79.255</v>
      </c>
      <c r="H6" s="25">
        <f>IF(E6&lt;&gt;0,2^(32-E6),"")</f>
        <v>4096</v>
      </c>
      <c r="L6" s="18" t="str">
        <f>IF(E6=1,"128.0.0.0",IF(E6=2,"192.0.0.0",IF(E6=3,"224.0.0.0",IF(E6=4,"240.0.0.0",IF(E6=5,"248.0.0.0",IF(E6=6,"252.0.0.0",IF(E6=7,"254.0.0.0",IF(E6=8,"255.0.0.0",IF(E6=9,"255.128.0.0",IF(E6=10,"255.192.0.0",IF(E6=11,"255.224.0.0",IF(E6=12,"255.240.0.0",IF(E6=13,"255.248.0.0",IF(E6=14,"255.252.0.0",IF(E6=15,"255.254.0.0",IF(E6=16,"255.255.0.0",IF(E6=17,"255.255.128.0",IF(E6=18,"255.255.192.0",IF(E6=19,"255.255.224.0",IF(E6=20,"255.255.240.0",IF(E6=21,"255.255.248.0",IF(E6=22,"255.255.252.0",IF(E6=23,"255.255.254.0",IF(E6=24,"255.255.255.0",IF(E6=25,"255.255.255.128",IF(E6=26,"255.255.255.192",IF(E6=27,"255.255.255.224",IF(E6=28,"255.255.255.240",IF(E6=29,"255.255.255.248",IF(E6=30,"255.255.255.252",IF(E6=31,"255.255.255.254",IF(E6=32,"255.255.255.255",""))))))))))))))))))))))))))))))))</f>
        <v>255.255.240.0</v>
      </c>
    </row>
    <row r="7" spans="1:12" x14ac:dyDescent="0.15">
      <c r="D7" s="20"/>
      <c r="E7" s="20"/>
      <c r="F7" s="20"/>
      <c r="G7" s="20"/>
      <c r="H7" s="20"/>
    </row>
    <row r="8" spans="1:12" x14ac:dyDescent="0.15">
      <c r="D8" s="20"/>
      <c r="E8" s="20"/>
      <c r="F8" s="20"/>
      <c r="G8" s="20"/>
      <c r="H8" s="20"/>
    </row>
    <row r="9" spans="1:12" ht="14.25" thickBot="1" x14ac:dyDescent="0.2">
      <c r="A9" s="18" t="s">
        <v>1</v>
      </c>
      <c r="B9" s="18" t="s">
        <v>16</v>
      </c>
      <c r="D9" s="20"/>
      <c r="E9" s="20"/>
      <c r="F9" s="20"/>
      <c r="G9" s="20"/>
      <c r="H9" s="20"/>
    </row>
    <row r="10" spans="1:12" ht="14.25" thickBot="1" x14ac:dyDescent="0.2">
      <c r="A10" s="3" t="s">
        <v>2</v>
      </c>
      <c r="B10" s="3" t="s">
        <v>3</v>
      </c>
      <c r="C10" s="3" t="s">
        <v>9</v>
      </c>
      <c r="D10" s="5" t="s">
        <v>4</v>
      </c>
      <c r="E10" s="5" t="s">
        <v>8</v>
      </c>
      <c r="F10" s="5" t="s">
        <v>5</v>
      </c>
      <c r="G10" s="5" t="s">
        <v>6</v>
      </c>
      <c r="H10" s="5" t="s">
        <v>10</v>
      </c>
      <c r="I10" s="3" t="s">
        <v>12</v>
      </c>
      <c r="L10" s="18" t="s">
        <v>7</v>
      </c>
    </row>
    <row r="11" spans="1:12" x14ac:dyDescent="0.15">
      <c r="A11" s="10"/>
      <c r="B11" s="10"/>
      <c r="C11" s="10"/>
      <c r="D11" s="24" t="str">
        <f>"10."&amp;J1&amp;".20.0"</f>
        <v>10.20.20.0</v>
      </c>
      <c r="E11" s="24">
        <v>22</v>
      </c>
      <c r="F11" s="24" t="str">
        <f t="shared" ref="F11:F28" si="0">IF(L11&lt;&gt;"",_xlfn.BITAND(VALUE(LEFT(D11,SEARCH(".",D11,1)-1)),VALUE(LEFT(L11,SEARCH(".",L11,1)-1)))&amp;"."&amp;
_xlfn.BITAND(VALUE(MID(D11,SEARCH(".",D11,1)+1,SEARCH(".",D11,SEARCH(".",D11,1)+1)-SEARCH(".",D11,1)-1)),VALUE(MID(L11,SEARCH(".",L11,1)+1,SEARCH(".",L11,SEARCH(".",L11,1)+1)-SEARCH(".",L11,1)-1)))&amp;"."&amp;
_xlfn.BITAND(VALUE(MID(D11,SEARCH(".",D11,SEARCH(".",D11,1)+1)+1,SEARCH(".",D11,SEARCH(".",D11,SEARCH(".",D11,1)+1)+1)-SEARCH(".",D11,SEARCH(".",D11,1)+1)-1)),VALUE(MID(L11,SEARCH(".",L11,SEARCH(".",L11,1)+1)+1,SEARCH(".",L11,SEARCH(".",L11,SEARCH(".",L11,1)+1)+1)-SEARCH(".",L11,SEARCH(".",L11,1)+1)-1)))&amp;"."&amp;
_xlfn.BITAND(VALUE(RIGHT(D11,LEN(D11)-SEARCH(".",D11,SEARCH(".",D11,SEARCH(".",D11,1)+1)+1))),VALUE(RIGHT(L11,LEN(L11)-SEARCH(".",L11,SEARCH(".",L11,SEARCH(".",L11,1)+1)+1)))),"")</f>
        <v>10.20.20.0</v>
      </c>
      <c r="G11" s="24" t="str">
        <f t="shared" ref="G11:G28" si="1">IF(L11&lt;&gt;"",_xlfn.BITOR(VALUE(LEFT(D11,SEARCH(".",D11,1)-1)),_xlfn.BITXOR(VALUE(LEFT(L11,SEARCH(".",L11,1)-1)),255))&amp;"."&amp;
_xlfn.BITOR(VALUE(MID(D11,SEARCH(".",D11,1)+1,SEARCH(".",D11,SEARCH(".",D11,1)+1)-SEARCH(".",D11,1)-1)),_xlfn.BITXOR(VALUE(MID(L11,SEARCH(".",L11,1)+1,SEARCH(".",L11,SEARCH(".",L11,1)+1)-SEARCH(".",L11,1)-1)),255))&amp;"."&amp;
_xlfn.BITOR(VALUE(MID(D11,SEARCH(".",D11,SEARCH(".",D11,1)+1)+1,SEARCH(".",D11,SEARCH(".",D11,SEARCH(".",D11,1)+1)+1)-SEARCH(".",D11,SEARCH(".",D11,1)+1)-1)),_xlfn.BITXOR(VALUE(MID(L11,SEARCH(".",L11,SEARCH(".",L11,1)+1)+1,SEARCH(".",L11,SEARCH(".",L11,SEARCH(".",L11,1)+1)+1)-SEARCH(".",L11,SEARCH(".",L11,1)+1)-1)),255))&amp;"."&amp;
_xlfn.BITOR(VALUE(RIGHT(D11,LEN(D11)-SEARCH(".",D11,SEARCH(".",D11,SEARCH(".",D11,1)+1)+1))),_xlfn.BITXOR(VALUE(RIGHT(L11,LEN(L11)-SEARCH(".",L11,SEARCH(".",L11,SEARCH(".",L11,1)+1)+1))),255)),"")</f>
        <v>10.20.23.255</v>
      </c>
      <c r="H11" s="24">
        <f>IF(E11&lt;&gt;0,2^(32-E11),"")</f>
        <v>1024</v>
      </c>
      <c r="I11" s="10" t="s">
        <v>13</v>
      </c>
      <c r="L11" s="18" t="str">
        <f t="shared" ref="L11:L28" si="2">IF(E11=1,"128.0.0.0",IF(E11=2,"192.0.0.0",IF(E11=3,"224.0.0.0",IF(E11=4,"240.0.0.0",IF(E11=5,"248.0.0.0",IF(E11=6,"252.0.0.0",IF(E11=7,"254.0.0.0",IF(E11=8,"255.0.0.0",IF(E11=9,"255.128.0.0",IF(E11=10,"255.192.0.0",IF(E11=11,"255.224.0.0",IF(E11=12,"255.240.0.0",IF(E11=13,"255.248.0.0",IF(E11=14,"255.252.0.0",IF(E11=15,"255.254.0.0",IF(E11=16,"255.255.0.0",IF(E11=17,"255.255.128.0",IF(E11=18,"255.255.192.0",IF(E11=19,"255.255.224.0",IF(E11=20,"255.255.240.0",IF(E11=21,"255.255.248.0",IF(E11=22,"255.255.252.0",IF(E11=23,"255.255.254.0",IF(E11=24,"255.255.255.0",IF(E11=25,"255.255.255.128",IF(E11=26,"255.255.255.192",IF(E11=27,"255.255.255.224",IF(E11=28,"255.255.255.240",IF(E11=29,"255.255.255.248",IF(E11=30,"255.255.255.252",IF(E11=31,"255.255.255.254",IF(E11=32,"255.255.255.255",""))))))))))))))))))))))))))))))))</f>
        <v>255.255.252.0</v>
      </c>
    </row>
    <row r="12" spans="1:12" x14ac:dyDescent="0.15">
      <c r="A12" s="10"/>
      <c r="B12" s="10"/>
      <c r="C12" s="10"/>
      <c r="D12" s="24" t="str">
        <f>"10."&amp;J1&amp;".24.0"</f>
        <v>10.20.24.0</v>
      </c>
      <c r="E12" s="24">
        <v>22</v>
      </c>
      <c r="F12" s="24" t="str">
        <f t="shared" si="0"/>
        <v>10.20.24.0</v>
      </c>
      <c r="G12" s="24" t="str">
        <f t="shared" si="1"/>
        <v>10.20.27.255</v>
      </c>
      <c r="H12" s="24">
        <f t="shared" ref="H12:H28" si="3">IF(E12&lt;&gt;0,2^(32-E12),"")</f>
        <v>1024</v>
      </c>
      <c r="I12" s="10" t="s">
        <v>13</v>
      </c>
      <c r="L12" s="18" t="str">
        <f t="shared" si="2"/>
        <v>255.255.252.0</v>
      </c>
    </row>
    <row r="13" spans="1:12" x14ac:dyDescent="0.15">
      <c r="A13" s="10"/>
      <c r="B13" s="10"/>
      <c r="C13" s="10"/>
      <c r="D13" s="24" t="str">
        <f>"10."&amp;J1&amp;".28.0"</f>
        <v>10.20.28.0</v>
      </c>
      <c r="E13" s="24">
        <v>23</v>
      </c>
      <c r="F13" s="24" t="str">
        <f t="shared" si="0"/>
        <v>10.20.28.0</v>
      </c>
      <c r="G13" s="24" t="str">
        <f t="shared" si="1"/>
        <v>10.20.29.255</v>
      </c>
      <c r="H13" s="24">
        <f t="shared" si="3"/>
        <v>512</v>
      </c>
      <c r="I13" s="10" t="s">
        <v>13</v>
      </c>
      <c r="L13" s="18" t="str">
        <f t="shared" si="2"/>
        <v>255.255.254.0</v>
      </c>
    </row>
    <row r="14" spans="1:12" x14ac:dyDescent="0.15">
      <c r="A14" s="10"/>
      <c r="B14" s="10"/>
      <c r="C14" s="10"/>
      <c r="D14" s="24" t="str">
        <f>"10."&amp;J1&amp;".30.0"</f>
        <v>10.20.30.0</v>
      </c>
      <c r="E14" s="24">
        <v>23</v>
      </c>
      <c r="F14" s="24" t="str">
        <f t="shared" si="0"/>
        <v>10.20.30.0</v>
      </c>
      <c r="G14" s="24" t="str">
        <f t="shared" si="1"/>
        <v>10.20.31.255</v>
      </c>
      <c r="H14" s="24">
        <f t="shared" si="3"/>
        <v>512</v>
      </c>
      <c r="I14" s="10" t="s">
        <v>13</v>
      </c>
      <c r="L14" s="18" t="str">
        <f t="shared" si="2"/>
        <v>255.255.254.0</v>
      </c>
    </row>
    <row r="15" spans="1:12" x14ac:dyDescent="0.15">
      <c r="A15" s="10"/>
      <c r="B15" s="10"/>
      <c r="C15" s="10"/>
      <c r="D15" s="24" t="str">
        <f>"10."&amp;J1&amp;".32.0"</f>
        <v>10.20.32.0</v>
      </c>
      <c r="E15" s="24">
        <v>22</v>
      </c>
      <c r="F15" s="24" t="str">
        <f t="shared" si="0"/>
        <v>10.20.32.0</v>
      </c>
      <c r="G15" s="24" t="str">
        <f t="shared" si="1"/>
        <v>10.20.35.255</v>
      </c>
      <c r="H15" s="24">
        <f t="shared" si="3"/>
        <v>1024</v>
      </c>
      <c r="I15" s="10" t="s">
        <v>13</v>
      </c>
      <c r="L15" s="18" t="str">
        <f t="shared" si="2"/>
        <v>255.255.252.0</v>
      </c>
    </row>
    <row r="16" spans="1:12" x14ac:dyDescent="0.15">
      <c r="A16" s="10"/>
      <c r="B16" s="10"/>
      <c r="C16" s="10"/>
      <c r="D16" s="24" t="str">
        <f>"10."&amp;J1&amp;".36.0"</f>
        <v>10.20.36.0</v>
      </c>
      <c r="E16" s="24">
        <v>23</v>
      </c>
      <c r="F16" s="24" t="str">
        <f t="shared" si="0"/>
        <v>10.20.36.0</v>
      </c>
      <c r="G16" s="24" t="str">
        <f t="shared" si="1"/>
        <v>10.20.37.255</v>
      </c>
      <c r="H16" s="24">
        <f t="shared" si="3"/>
        <v>512</v>
      </c>
      <c r="I16" s="10" t="s">
        <v>13</v>
      </c>
      <c r="L16" s="18" t="str">
        <f t="shared" si="2"/>
        <v>255.255.254.0</v>
      </c>
    </row>
    <row r="17" spans="1:20" x14ac:dyDescent="0.15">
      <c r="A17" s="10"/>
      <c r="B17" s="10"/>
      <c r="C17" s="10"/>
      <c r="D17" s="24" t="str">
        <f>"10."&amp;J1&amp;".39.0"</f>
        <v>10.20.39.0</v>
      </c>
      <c r="E17" s="24">
        <v>23</v>
      </c>
      <c r="F17" s="24" t="str">
        <f t="shared" si="0"/>
        <v>10.20.38.0</v>
      </c>
      <c r="G17" s="24" t="str">
        <f t="shared" si="1"/>
        <v>10.20.39.255</v>
      </c>
      <c r="H17" s="24">
        <f t="shared" si="3"/>
        <v>512</v>
      </c>
      <c r="I17" s="10" t="s">
        <v>13</v>
      </c>
      <c r="L17" s="18" t="str">
        <f t="shared" si="2"/>
        <v>255.255.254.0</v>
      </c>
    </row>
    <row r="18" spans="1:20" x14ac:dyDescent="0.15">
      <c r="A18" s="10"/>
      <c r="B18" s="10"/>
      <c r="C18" s="10"/>
      <c r="D18" s="24" t="str">
        <f>"10."&amp;J1&amp;".40.0"</f>
        <v>10.20.40.0</v>
      </c>
      <c r="E18" s="24">
        <v>22</v>
      </c>
      <c r="F18" s="24" t="str">
        <f t="shared" si="0"/>
        <v>10.20.40.0</v>
      </c>
      <c r="G18" s="24" t="str">
        <f t="shared" si="1"/>
        <v>10.20.43.255</v>
      </c>
      <c r="H18" s="24">
        <f t="shared" si="3"/>
        <v>1024</v>
      </c>
      <c r="I18" s="10" t="s">
        <v>14</v>
      </c>
      <c r="L18" s="18" t="str">
        <f t="shared" si="2"/>
        <v>255.255.252.0</v>
      </c>
    </row>
    <row r="19" spans="1:20" x14ac:dyDescent="0.15">
      <c r="A19" s="10"/>
      <c r="B19" s="10"/>
      <c r="C19" s="10"/>
      <c r="D19" s="24" t="str">
        <f>"10."&amp;J1&amp;".44.0"</f>
        <v>10.20.44.0</v>
      </c>
      <c r="E19" s="24">
        <v>23</v>
      </c>
      <c r="F19" s="24" t="str">
        <f t="shared" si="0"/>
        <v>10.20.44.0</v>
      </c>
      <c r="G19" s="24" t="str">
        <f t="shared" si="1"/>
        <v>10.20.45.255</v>
      </c>
      <c r="H19" s="24">
        <f t="shared" si="3"/>
        <v>512</v>
      </c>
      <c r="I19" s="10" t="s">
        <v>14</v>
      </c>
      <c r="L19" s="18" t="str">
        <f t="shared" si="2"/>
        <v>255.255.254.0</v>
      </c>
    </row>
    <row r="20" spans="1:20" x14ac:dyDescent="0.15">
      <c r="A20" s="10"/>
      <c r="B20" s="10"/>
      <c r="C20" s="10"/>
      <c r="D20" s="24" t="str">
        <f>"10."&amp;J1&amp;".46.0"</f>
        <v>10.20.46.0</v>
      </c>
      <c r="E20" s="24">
        <v>23</v>
      </c>
      <c r="F20" s="24" t="str">
        <f t="shared" si="0"/>
        <v>10.20.46.0</v>
      </c>
      <c r="G20" s="24" t="str">
        <f t="shared" si="1"/>
        <v>10.20.47.255</v>
      </c>
      <c r="H20" s="24">
        <f t="shared" si="3"/>
        <v>512</v>
      </c>
      <c r="I20" s="10" t="s">
        <v>13</v>
      </c>
      <c r="L20" s="18" t="str">
        <f t="shared" si="2"/>
        <v>255.255.254.0</v>
      </c>
    </row>
    <row r="21" spans="1:20" x14ac:dyDescent="0.15">
      <c r="A21" s="10"/>
      <c r="B21" s="10"/>
      <c r="C21" s="10"/>
      <c r="D21" s="24" t="str">
        <f>"10."&amp;J1&amp;".48.0"</f>
        <v>10.20.48.0</v>
      </c>
      <c r="E21" s="24">
        <v>21</v>
      </c>
      <c r="F21" s="24" t="str">
        <f t="shared" si="0"/>
        <v>10.20.48.0</v>
      </c>
      <c r="G21" s="24" t="str">
        <f t="shared" si="1"/>
        <v>10.20.55.255</v>
      </c>
      <c r="H21" s="24">
        <f t="shared" si="3"/>
        <v>2048</v>
      </c>
      <c r="I21" s="10" t="s">
        <v>13</v>
      </c>
      <c r="L21" s="18" t="str">
        <f t="shared" si="2"/>
        <v>255.255.248.0</v>
      </c>
    </row>
    <row r="22" spans="1:20" x14ac:dyDescent="0.15">
      <c r="A22" s="10"/>
      <c r="B22" s="10"/>
      <c r="C22" s="10"/>
      <c r="D22" s="24" t="str">
        <f>"10."&amp;J1&amp;".56.0"</f>
        <v>10.20.56.0</v>
      </c>
      <c r="E22" s="24">
        <v>21</v>
      </c>
      <c r="F22" s="24" t="str">
        <f t="shared" si="0"/>
        <v>10.20.56.0</v>
      </c>
      <c r="G22" s="24" t="str">
        <f t="shared" si="1"/>
        <v>10.20.63.255</v>
      </c>
      <c r="H22" s="24">
        <f t="shared" si="3"/>
        <v>2048</v>
      </c>
      <c r="I22" s="10" t="s">
        <v>14</v>
      </c>
      <c r="L22" s="18" t="str">
        <f t="shared" si="2"/>
        <v>255.255.248.0</v>
      </c>
    </row>
    <row r="23" spans="1:20" x14ac:dyDescent="0.15">
      <c r="A23" s="10"/>
      <c r="B23" s="10"/>
      <c r="C23" s="10"/>
      <c r="D23" s="24" t="str">
        <f>"10."&amp;J1&amp;".64.0"</f>
        <v>10.20.64.0</v>
      </c>
      <c r="E23" s="24">
        <v>22</v>
      </c>
      <c r="F23" s="24" t="str">
        <f t="shared" si="0"/>
        <v>10.20.64.0</v>
      </c>
      <c r="G23" s="24" t="str">
        <f t="shared" si="1"/>
        <v>10.20.67.255</v>
      </c>
      <c r="H23" s="24">
        <f t="shared" si="3"/>
        <v>1024</v>
      </c>
      <c r="I23" s="10" t="s">
        <v>13</v>
      </c>
      <c r="L23" s="18" t="str">
        <f t="shared" si="2"/>
        <v>255.255.252.0</v>
      </c>
    </row>
    <row r="24" spans="1:20" x14ac:dyDescent="0.15">
      <c r="A24" s="10"/>
      <c r="B24" s="10"/>
      <c r="C24" s="10"/>
      <c r="D24" s="24" t="str">
        <f>"10."&amp;J1&amp;".68.0"</f>
        <v>10.20.68.0</v>
      </c>
      <c r="E24" s="24">
        <v>22</v>
      </c>
      <c r="F24" s="24" t="str">
        <f t="shared" si="0"/>
        <v>10.20.68.0</v>
      </c>
      <c r="G24" s="24" t="str">
        <f t="shared" si="1"/>
        <v>10.20.71.255</v>
      </c>
      <c r="H24" s="24">
        <f t="shared" si="3"/>
        <v>1024</v>
      </c>
      <c r="I24" s="10" t="s">
        <v>13</v>
      </c>
      <c r="L24" s="18" t="str">
        <f t="shared" si="2"/>
        <v>255.255.252.0</v>
      </c>
    </row>
    <row r="25" spans="1:20" x14ac:dyDescent="0.15">
      <c r="A25" s="10"/>
      <c r="B25" s="10"/>
      <c r="C25" s="10"/>
      <c r="D25" s="24" t="str">
        <f>"10."&amp;J1&amp;".72.0"</f>
        <v>10.20.72.0</v>
      </c>
      <c r="E25" s="24">
        <v>22</v>
      </c>
      <c r="F25" s="24" t="str">
        <f t="shared" si="0"/>
        <v>10.20.72.0</v>
      </c>
      <c r="G25" s="24" t="str">
        <f t="shared" si="1"/>
        <v>10.20.75.255</v>
      </c>
      <c r="H25" s="24">
        <f t="shared" si="3"/>
        <v>1024</v>
      </c>
      <c r="I25" s="10" t="s">
        <v>13</v>
      </c>
      <c r="L25" s="18" t="str">
        <f t="shared" si="2"/>
        <v>255.255.252.0</v>
      </c>
    </row>
    <row r="26" spans="1:20" x14ac:dyDescent="0.15">
      <c r="A26" s="10"/>
      <c r="B26" s="10"/>
      <c r="C26" s="10"/>
      <c r="D26" s="24" t="str">
        <f>"10."&amp;J1&amp;".76.0"</f>
        <v>10.20.76.0</v>
      </c>
      <c r="E26" s="24">
        <v>22</v>
      </c>
      <c r="F26" s="24" t="str">
        <f t="shared" si="0"/>
        <v>10.20.76.0</v>
      </c>
      <c r="G26" s="24" t="str">
        <f t="shared" si="1"/>
        <v>10.20.79.255</v>
      </c>
      <c r="H26" s="24">
        <f t="shared" si="3"/>
        <v>1024</v>
      </c>
      <c r="I26" s="10" t="s">
        <v>13</v>
      </c>
      <c r="L26" s="18" t="str">
        <f t="shared" si="2"/>
        <v>255.255.252.0</v>
      </c>
    </row>
    <row r="27" spans="1:20" x14ac:dyDescent="0.15">
      <c r="A27" s="10"/>
      <c r="B27" s="10"/>
      <c r="C27" s="10"/>
      <c r="D27" s="24" t="str">
        <f>"10."&amp;J1&amp;".80.0"</f>
        <v>10.20.80.0</v>
      </c>
      <c r="E27" s="24">
        <v>21</v>
      </c>
      <c r="F27" s="24" t="str">
        <f t="shared" si="0"/>
        <v>10.20.80.0</v>
      </c>
      <c r="G27" s="24" t="str">
        <f t="shared" si="1"/>
        <v>10.20.87.255</v>
      </c>
      <c r="H27" s="24">
        <f t="shared" si="3"/>
        <v>2048</v>
      </c>
      <c r="I27" s="10" t="s">
        <v>13</v>
      </c>
      <c r="L27" s="18" t="str">
        <f t="shared" si="2"/>
        <v>255.255.248.0</v>
      </c>
    </row>
    <row r="28" spans="1:20" x14ac:dyDescent="0.15">
      <c r="A28" s="6"/>
      <c r="B28" s="6"/>
      <c r="C28" s="6"/>
      <c r="D28" s="25" t="str">
        <f>"10."&amp;J1&amp;".88.0"</f>
        <v>10.20.88.0</v>
      </c>
      <c r="E28" s="25">
        <v>22</v>
      </c>
      <c r="F28" s="25" t="str">
        <f t="shared" si="0"/>
        <v>10.20.88.0</v>
      </c>
      <c r="G28" s="25" t="str">
        <f t="shared" si="1"/>
        <v>10.20.91.255</v>
      </c>
      <c r="H28" s="25">
        <f t="shared" si="3"/>
        <v>1024</v>
      </c>
      <c r="I28" s="6" t="s">
        <v>14</v>
      </c>
      <c r="L28" s="18" t="str">
        <f t="shared" si="2"/>
        <v>255.255.252.0</v>
      </c>
    </row>
    <row r="30" spans="1:20" ht="14.25" thickBot="1" x14ac:dyDescent="0.2">
      <c r="B30" s="1" t="s">
        <v>17</v>
      </c>
    </row>
    <row r="31" spans="1:20" ht="14.25" thickBot="1" x14ac:dyDescent="0.2">
      <c r="A31" s="3" t="s">
        <v>2</v>
      </c>
      <c r="B31" s="3" t="s">
        <v>3</v>
      </c>
      <c r="C31" s="3" t="s">
        <v>20</v>
      </c>
      <c r="D31" s="5" t="s">
        <v>18</v>
      </c>
      <c r="E31" s="45" t="s">
        <v>19</v>
      </c>
      <c r="F31" s="46"/>
      <c r="G31" s="47"/>
      <c r="H31" s="45" t="s">
        <v>21</v>
      </c>
      <c r="I31" s="47"/>
      <c r="L31" s="38" t="s">
        <v>36</v>
      </c>
      <c r="M31" s="38"/>
      <c r="N31" s="38"/>
      <c r="O31" s="38"/>
      <c r="P31" s="38"/>
      <c r="Q31" s="38"/>
      <c r="R31" s="38"/>
      <c r="S31" s="38"/>
      <c r="T31" s="38"/>
    </row>
    <row r="32" spans="1:20" x14ac:dyDescent="0.15">
      <c r="A32" s="14"/>
      <c r="B32" s="15"/>
      <c r="C32" s="15"/>
      <c r="D32" s="15"/>
      <c r="E32" s="48"/>
      <c r="F32" s="49"/>
      <c r="G32" s="50"/>
      <c r="H32" s="48"/>
      <c r="I32" s="50"/>
      <c r="L32" s="18" t="s">
        <v>23</v>
      </c>
      <c r="M32" s="18">
        <f>B32</f>
        <v>0</v>
      </c>
      <c r="N32" s="26" t="s">
        <v>25</v>
      </c>
      <c r="P32" s="18" t="s">
        <v>24</v>
      </c>
      <c r="Q32" s="18">
        <f>D32</f>
        <v>0</v>
      </c>
      <c r="R32" s="26" t="s">
        <v>26</v>
      </c>
      <c r="S32" s="18">
        <f>B32</f>
        <v>0</v>
      </c>
      <c r="T32" s="26" t="s">
        <v>25</v>
      </c>
    </row>
    <row r="33" spans="1:20" x14ac:dyDescent="0.15">
      <c r="A33" s="6"/>
      <c r="B33" s="6"/>
      <c r="C33" s="6"/>
      <c r="D33" s="6"/>
      <c r="E33" s="39"/>
      <c r="F33" s="41"/>
      <c r="G33" s="40"/>
      <c r="H33" s="39"/>
      <c r="I33" s="40"/>
      <c r="L33" s="18" t="s">
        <v>23</v>
      </c>
      <c r="M33" s="18">
        <f t="shared" ref="M33:M46" si="4">B33</f>
        <v>0</v>
      </c>
      <c r="N33" s="26" t="s">
        <v>25</v>
      </c>
      <c r="P33" s="18" t="s">
        <v>24</v>
      </c>
      <c r="Q33" s="18">
        <f t="shared" ref="Q33:Q46" si="5">D33</f>
        <v>0</v>
      </c>
      <c r="R33" s="26" t="s">
        <v>26</v>
      </c>
      <c r="S33" s="18">
        <f t="shared" ref="S33:S46" si="6">B33</f>
        <v>0</v>
      </c>
      <c r="T33" s="26" t="s">
        <v>25</v>
      </c>
    </row>
    <row r="34" spans="1:20" x14ac:dyDescent="0.15">
      <c r="A34" s="8"/>
      <c r="B34" s="8"/>
      <c r="C34" s="8"/>
      <c r="D34" s="8"/>
      <c r="E34" s="39"/>
      <c r="F34" s="41"/>
      <c r="G34" s="40"/>
      <c r="H34" s="39"/>
      <c r="I34" s="40"/>
      <c r="L34" s="18" t="s">
        <v>23</v>
      </c>
      <c r="M34" s="18">
        <f t="shared" si="4"/>
        <v>0</v>
      </c>
      <c r="N34" s="26" t="s">
        <v>25</v>
      </c>
      <c r="P34" s="18" t="s">
        <v>24</v>
      </c>
      <c r="Q34" s="18">
        <f t="shared" si="5"/>
        <v>0</v>
      </c>
      <c r="R34" s="26" t="s">
        <v>26</v>
      </c>
      <c r="S34" s="18">
        <f t="shared" si="6"/>
        <v>0</v>
      </c>
      <c r="T34" s="26" t="s">
        <v>25</v>
      </c>
    </row>
    <row r="35" spans="1:20" x14ac:dyDescent="0.15">
      <c r="A35" s="8"/>
      <c r="B35" s="8"/>
      <c r="C35" s="8"/>
      <c r="D35" s="8"/>
      <c r="E35" s="39"/>
      <c r="F35" s="41"/>
      <c r="G35" s="40"/>
      <c r="H35" s="39"/>
      <c r="I35" s="40"/>
      <c r="L35" s="18" t="s">
        <v>23</v>
      </c>
      <c r="M35" s="18">
        <f t="shared" si="4"/>
        <v>0</v>
      </c>
      <c r="N35" s="26" t="s">
        <v>25</v>
      </c>
      <c r="P35" s="18" t="s">
        <v>24</v>
      </c>
      <c r="Q35" s="18">
        <f t="shared" si="5"/>
        <v>0</v>
      </c>
      <c r="R35" s="26" t="s">
        <v>26</v>
      </c>
      <c r="S35" s="18">
        <f t="shared" si="6"/>
        <v>0</v>
      </c>
      <c r="T35" s="26" t="s">
        <v>25</v>
      </c>
    </row>
    <row r="36" spans="1:20" x14ac:dyDescent="0.15">
      <c r="A36" s="8"/>
      <c r="B36" s="8"/>
      <c r="C36" s="8"/>
      <c r="D36" s="8"/>
      <c r="E36" s="39"/>
      <c r="F36" s="41"/>
      <c r="G36" s="40"/>
      <c r="H36" s="39"/>
      <c r="I36" s="40"/>
      <c r="L36" s="18" t="s">
        <v>23</v>
      </c>
      <c r="M36" s="18">
        <f t="shared" si="4"/>
        <v>0</v>
      </c>
      <c r="N36" s="26" t="s">
        <v>25</v>
      </c>
      <c r="P36" s="18" t="s">
        <v>24</v>
      </c>
      <c r="Q36" s="18">
        <f t="shared" si="5"/>
        <v>0</v>
      </c>
      <c r="R36" s="26" t="s">
        <v>26</v>
      </c>
      <c r="S36" s="18">
        <f t="shared" si="6"/>
        <v>0</v>
      </c>
      <c r="T36" s="26" t="s">
        <v>25</v>
      </c>
    </row>
    <row r="37" spans="1:20" x14ac:dyDescent="0.15">
      <c r="A37" s="8"/>
      <c r="B37" s="8"/>
      <c r="C37" s="8"/>
      <c r="D37" s="8"/>
      <c r="E37" s="39"/>
      <c r="F37" s="41"/>
      <c r="G37" s="40"/>
      <c r="H37" s="39"/>
      <c r="I37" s="40"/>
      <c r="L37" s="18" t="s">
        <v>23</v>
      </c>
      <c r="M37" s="18">
        <f t="shared" si="4"/>
        <v>0</v>
      </c>
      <c r="N37" s="26" t="s">
        <v>25</v>
      </c>
      <c r="P37" s="18" t="s">
        <v>24</v>
      </c>
      <c r="Q37" s="18">
        <f t="shared" si="5"/>
        <v>0</v>
      </c>
      <c r="R37" s="26" t="s">
        <v>26</v>
      </c>
      <c r="S37" s="18">
        <f t="shared" si="6"/>
        <v>0</v>
      </c>
      <c r="T37" s="26" t="s">
        <v>25</v>
      </c>
    </row>
    <row r="38" spans="1:20" x14ac:dyDescent="0.15">
      <c r="A38" s="8"/>
      <c r="B38" s="8"/>
      <c r="C38" s="8"/>
      <c r="D38" s="8"/>
      <c r="E38" s="42"/>
      <c r="F38" s="43"/>
      <c r="G38" s="44"/>
      <c r="H38" s="39"/>
      <c r="I38" s="40"/>
      <c r="L38" s="18" t="s">
        <v>23</v>
      </c>
      <c r="M38" s="18">
        <f t="shared" si="4"/>
        <v>0</v>
      </c>
      <c r="N38" s="26" t="s">
        <v>25</v>
      </c>
      <c r="P38" s="18" t="s">
        <v>24</v>
      </c>
      <c r="Q38" s="18">
        <f t="shared" si="5"/>
        <v>0</v>
      </c>
      <c r="R38" s="26" t="s">
        <v>26</v>
      </c>
      <c r="S38" s="18">
        <f t="shared" si="6"/>
        <v>0</v>
      </c>
      <c r="T38" s="26" t="s">
        <v>25</v>
      </c>
    </row>
    <row r="39" spans="1:20" x14ac:dyDescent="0.15">
      <c r="A39" s="8"/>
      <c r="B39" s="8"/>
      <c r="C39" s="8"/>
      <c r="D39" s="8"/>
      <c r="E39" s="39"/>
      <c r="F39" s="41"/>
      <c r="G39" s="40"/>
      <c r="H39" s="39"/>
      <c r="I39" s="40"/>
      <c r="L39" s="18" t="s">
        <v>23</v>
      </c>
      <c r="M39" s="18">
        <f t="shared" si="4"/>
        <v>0</v>
      </c>
      <c r="N39" s="26" t="s">
        <v>25</v>
      </c>
      <c r="P39" s="18" t="s">
        <v>24</v>
      </c>
      <c r="Q39" s="18">
        <f t="shared" si="5"/>
        <v>0</v>
      </c>
      <c r="R39" s="26" t="s">
        <v>26</v>
      </c>
      <c r="S39" s="18">
        <f t="shared" si="6"/>
        <v>0</v>
      </c>
      <c r="T39" s="26" t="s">
        <v>25</v>
      </c>
    </row>
    <row r="40" spans="1:20" x14ac:dyDescent="0.15">
      <c r="A40" s="8"/>
      <c r="B40" s="8"/>
      <c r="C40" s="8"/>
      <c r="D40" s="8"/>
      <c r="E40" s="39"/>
      <c r="F40" s="41"/>
      <c r="G40" s="40"/>
      <c r="H40" s="39"/>
      <c r="I40" s="40"/>
      <c r="L40" s="18" t="s">
        <v>23</v>
      </c>
      <c r="M40" s="18">
        <f t="shared" si="4"/>
        <v>0</v>
      </c>
      <c r="N40" s="26" t="s">
        <v>25</v>
      </c>
      <c r="P40" s="18" t="s">
        <v>24</v>
      </c>
      <c r="Q40" s="18">
        <f t="shared" si="5"/>
        <v>0</v>
      </c>
      <c r="R40" s="26" t="s">
        <v>26</v>
      </c>
      <c r="S40" s="18">
        <f t="shared" si="6"/>
        <v>0</v>
      </c>
      <c r="T40" s="26" t="s">
        <v>25</v>
      </c>
    </row>
    <row r="41" spans="1:20" x14ac:dyDescent="0.15">
      <c r="A41" s="8"/>
      <c r="B41" s="8"/>
      <c r="C41" s="8"/>
      <c r="D41" s="8"/>
      <c r="E41" s="39"/>
      <c r="F41" s="41"/>
      <c r="G41" s="40"/>
      <c r="H41" s="39"/>
      <c r="I41" s="40"/>
      <c r="L41" s="18" t="s">
        <v>23</v>
      </c>
      <c r="M41" s="18">
        <f t="shared" si="4"/>
        <v>0</v>
      </c>
      <c r="N41" s="26" t="s">
        <v>25</v>
      </c>
      <c r="P41" s="18" t="s">
        <v>24</v>
      </c>
      <c r="Q41" s="18">
        <f t="shared" si="5"/>
        <v>0</v>
      </c>
      <c r="R41" s="26" t="s">
        <v>26</v>
      </c>
      <c r="S41" s="18">
        <f t="shared" si="6"/>
        <v>0</v>
      </c>
      <c r="T41" s="26" t="s">
        <v>25</v>
      </c>
    </row>
    <row r="42" spans="1:20" x14ac:dyDescent="0.15">
      <c r="A42" s="8"/>
      <c r="B42" s="8"/>
      <c r="C42" s="8"/>
      <c r="D42" s="8"/>
      <c r="E42" s="39"/>
      <c r="F42" s="41"/>
      <c r="G42" s="40"/>
      <c r="H42" s="39"/>
      <c r="I42" s="40"/>
      <c r="L42" s="18" t="s">
        <v>23</v>
      </c>
      <c r="M42" s="18">
        <f t="shared" si="4"/>
        <v>0</v>
      </c>
      <c r="N42" s="26" t="s">
        <v>25</v>
      </c>
      <c r="P42" s="18" t="s">
        <v>24</v>
      </c>
      <c r="Q42" s="18">
        <f t="shared" si="5"/>
        <v>0</v>
      </c>
      <c r="R42" s="26" t="s">
        <v>26</v>
      </c>
      <c r="S42" s="18">
        <f t="shared" si="6"/>
        <v>0</v>
      </c>
      <c r="T42" s="26" t="s">
        <v>25</v>
      </c>
    </row>
    <row r="43" spans="1:20" x14ac:dyDescent="0.15">
      <c r="A43" s="8"/>
      <c r="B43" s="8"/>
      <c r="C43" s="8"/>
      <c r="D43" s="8"/>
      <c r="E43" s="39"/>
      <c r="F43" s="41"/>
      <c r="G43" s="40"/>
      <c r="H43" s="39"/>
      <c r="I43" s="40"/>
      <c r="L43" s="18" t="s">
        <v>23</v>
      </c>
      <c r="M43" s="18">
        <f t="shared" si="4"/>
        <v>0</v>
      </c>
      <c r="N43" s="26" t="s">
        <v>25</v>
      </c>
      <c r="P43" s="18" t="s">
        <v>24</v>
      </c>
      <c r="Q43" s="18">
        <f t="shared" si="5"/>
        <v>0</v>
      </c>
      <c r="R43" s="26" t="s">
        <v>26</v>
      </c>
      <c r="S43" s="18">
        <f t="shared" si="6"/>
        <v>0</v>
      </c>
      <c r="T43" s="26" t="s">
        <v>25</v>
      </c>
    </row>
    <row r="44" spans="1:20" x14ac:dyDescent="0.15">
      <c r="A44" s="8"/>
      <c r="B44" s="8"/>
      <c r="C44" s="8"/>
      <c r="D44" s="8"/>
      <c r="E44" s="39"/>
      <c r="F44" s="41"/>
      <c r="G44" s="40"/>
      <c r="H44" s="39"/>
      <c r="I44" s="40"/>
      <c r="L44" s="18" t="s">
        <v>23</v>
      </c>
      <c r="M44" s="18">
        <f t="shared" si="4"/>
        <v>0</v>
      </c>
      <c r="N44" s="26" t="s">
        <v>25</v>
      </c>
      <c r="P44" s="18" t="s">
        <v>24</v>
      </c>
      <c r="Q44" s="18">
        <f t="shared" si="5"/>
        <v>0</v>
      </c>
      <c r="R44" s="26" t="s">
        <v>26</v>
      </c>
      <c r="S44" s="18">
        <f t="shared" si="6"/>
        <v>0</v>
      </c>
      <c r="T44" s="26" t="s">
        <v>25</v>
      </c>
    </row>
    <row r="45" spans="1:20" x14ac:dyDescent="0.15">
      <c r="A45" s="8"/>
      <c r="B45" s="8"/>
      <c r="C45" s="8"/>
      <c r="D45" s="8"/>
      <c r="E45" s="39"/>
      <c r="F45" s="41"/>
      <c r="G45" s="40"/>
      <c r="H45" s="39"/>
      <c r="I45" s="40"/>
      <c r="L45" s="18" t="s">
        <v>23</v>
      </c>
      <c r="M45" s="18">
        <f t="shared" si="4"/>
        <v>0</v>
      </c>
      <c r="N45" s="26" t="s">
        <v>25</v>
      </c>
      <c r="P45" s="18" t="s">
        <v>24</v>
      </c>
      <c r="Q45" s="18">
        <f t="shared" si="5"/>
        <v>0</v>
      </c>
      <c r="R45" s="26" t="s">
        <v>26</v>
      </c>
      <c r="S45" s="18">
        <f t="shared" si="6"/>
        <v>0</v>
      </c>
      <c r="T45" s="26" t="s">
        <v>25</v>
      </c>
    </row>
    <row r="46" spans="1:20" x14ac:dyDescent="0.15">
      <c r="A46" s="8"/>
      <c r="B46" s="8"/>
      <c r="C46" s="8"/>
      <c r="D46" s="8"/>
      <c r="E46" s="39"/>
      <c r="F46" s="41"/>
      <c r="G46" s="40"/>
      <c r="H46" s="39"/>
      <c r="I46" s="40"/>
      <c r="J46" s="1"/>
      <c r="L46" s="18" t="s">
        <v>23</v>
      </c>
      <c r="M46" s="18">
        <f t="shared" si="4"/>
        <v>0</v>
      </c>
      <c r="N46" s="26" t="s">
        <v>25</v>
      </c>
      <c r="P46" s="18" t="s">
        <v>24</v>
      </c>
      <c r="Q46" s="18">
        <f t="shared" si="5"/>
        <v>0</v>
      </c>
      <c r="R46" s="26" t="s">
        <v>26</v>
      </c>
      <c r="S46" s="18">
        <f t="shared" si="6"/>
        <v>0</v>
      </c>
      <c r="T46" s="26" t="s">
        <v>25</v>
      </c>
    </row>
    <row r="47" spans="1:20" x14ac:dyDescent="0.15">
      <c r="A47" s="1"/>
      <c r="B47" s="1"/>
      <c r="C47" s="1"/>
      <c r="D47" s="1"/>
      <c r="E47" s="7"/>
      <c r="F47" s="7"/>
      <c r="G47" s="7"/>
      <c r="H47" s="7"/>
      <c r="I47" s="7"/>
      <c r="J47" s="1"/>
    </row>
    <row r="48" spans="1:20" x14ac:dyDescent="0.15">
      <c r="A48" s="1"/>
      <c r="B48" s="1"/>
      <c r="C48" s="1"/>
      <c r="D48" s="1"/>
      <c r="E48" s="7"/>
      <c r="F48" s="7"/>
      <c r="G48" s="7"/>
      <c r="H48" s="7"/>
      <c r="I48" s="7"/>
      <c r="J48" s="1"/>
    </row>
    <row r="49" spans="1:1" x14ac:dyDescent="0.15">
      <c r="A49" s="1"/>
    </row>
    <row r="50" spans="1:1" x14ac:dyDescent="0.15">
      <c r="A50" s="1"/>
    </row>
    <row r="51" spans="1:1" x14ac:dyDescent="0.15">
      <c r="A51" s="1"/>
    </row>
  </sheetData>
  <mergeCells count="39">
    <mergeCell ref="E46:G46"/>
    <mergeCell ref="H46:I46"/>
    <mergeCell ref="H45:I45"/>
    <mergeCell ref="H40:I40"/>
    <mergeCell ref="H41:I41"/>
    <mergeCell ref="H42:I42"/>
    <mergeCell ref="H44:I44"/>
    <mergeCell ref="E45:G45"/>
    <mergeCell ref="E41:G41"/>
    <mergeCell ref="E42:G42"/>
    <mergeCell ref="E43:G43"/>
    <mergeCell ref="E44:G44"/>
    <mergeCell ref="H33:I33"/>
    <mergeCell ref="H34:I34"/>
    <mergeCell ref="H35:I35"/>
    <mergeCell ref="H36:I36"/>
    <mergeCell ref="H32:I32"/>
    <mergeCell ref="A1:B1"/>
    <mergeCell ref="B4:C4"/>
    <mergeCell ref="B5:C5"/>
    <mergeCell ref="B6:C6"/>
    <mergeCell ref="B3:C3"/>
    <mergeCell ref="C1:D1"/>
    <mergeCell ref="L31:T31"/>
    <mergeCell ref="H39:I39"/>
    <mergeCell ref="H43:I43"/>
    <mergeCell ref="E36:G36"/>
    <mergeCell ref="E37:G37"/>
    <mergeCell ref="E38:G38"/>
    <mergeCell ref="E39:G39"/>
    <mergeCell ref="H37:I37"/>
    <mergeCell ref="H38:I38"/>
    <mergeCell ref="E31:G31"/>
    <mergeCell ref="E33:G33"/>
    <mergeCell ref="E35:G35"/>
    <mergeCell ref="E34:G34"/>
    <mergeCell ref="E40:G40"/>
    <mergeCell ref="E32:G32"/>
    <mergeCell ref="H31:I3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C33-BC59-4DC1-A32C-1E85D01BAAFA}">
  <dimension ref="A1:J56"/>
  <sheetViews>
    <sheetView zoomScale="145" zoomScaleNormal="145" workbookViewId="0">
      <selection activeCell="K11" sqref="K10:K11"/>
    </sheetView>
  </sheetViews>
  <sheetFormatPr defaultRowHeight="13.5" x14ac:dyDescent="0.15"/>
  <cols>
    <col min="1" max="1" width="13" style="1" bestFit="1" customWidth="1"/>
    <col min="2" max="2" width="14.625" style="1" bestFit="1" customWidth="1"/>
    <col min="3" max="3" width="7.25" style="1" bestFit="1" customWidth="1"/>
    <col min="4" max="4" width="24.5" style="1" bestFit="1" customWidth="1"/>
    <col min="5" max="5" width="6.5" style="1" bestFit="1" customWidth="1"/>
    <col min="6" max="7" width="39.25" style="1" bestFit="1" customWidth="1"/>
    <col min="8" max="8" width="9.125" style="1" customWidth="1"/>
    <col min="9" max="11" width="9" style="1"/>
    <col min="12" max="12" width="12.875" style="1" bestFit="1" customWidth="1"/>
    <col min="13" max="16384" width="9" style="1"/>
  </cols>
  <sheetData>
    <row r="1" spans="1:10" ht="21" x14ac:dyDescent="0.2">
      <c r="A1" s="57" t="s">
        <v>0</v>
      </c>
      <c r="B1" s="58"/>
      <c r="C1" s="57" t="str">
        <f>メイン!$D$17</f>
        <v>v3.00</v>
      </c>
      <c r="D1" s="58"/>
      <c r="E1" s="1" t="s">
        <v>22</v>
      </c>
      <c r="H1" s="1" t="s">
        <v>27</v>
      </c>
    </row>
    <row r="2" spans="1:10" ht="14.25" thickBot="1" x14ac:dyDescent="0.2">
      <c r="J2" s="1" t="s">
        <v>28</v>
      </c>
    </row>
    <row r="3" spans="1:10" ht="14.25" thickBot="1" x14ac:dyDescent="0.2">
      <c r="B3" s="59" t="s">
        <v>15</v>
      </c>
      <c r="C3" s="60"/>
      <c r="D3" s="21" t="s">
        <v>4</v>
      </c>
      <c r="E3" s="21" t="s">
        <v>8</v>
      </c>
      <c r="F3" s="21" t="s">
        <v>5</v>
      </c>
      <c r="G3" s="21" t="s">
        <v>6</v>
      </c>
      <c r="H3" s="21" t="s">
        <v>37</v>
      </c>
    </row>
    <row r="4" spans="1:10" x14ac:dyDescent="0.15">
      <c r="B4" s="61"/>
      <c r="C4" s="61"/>
      <c r="D4" s="23"/>
      <c r="E4" s="37"/>
      <c r="F4" s="36" t="str">
        <f>IFERROR(IF(D4&lt;&gt;"",IF(E4&lt;&gt;"",DEC2HEX(_xlfn.BITAND(HEX2DEC(LEFT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1))-1)),HEX2DEC(DEC2HEX(IF(E4=16,65535,IF(E4=15,65534,IF(E4=14,65532,IF(E4=13,65528,IF(E4=12,65520,IF(E4=11,65504,IF(E4=10,65472,IF(E4=9,65408,IF(E4=8,65280,IF(E4=7,65024,IF(E4=6,64512,IF(E4=5,63488,IF(E4=4,61440,IF(E4=3,57344,IF(E4=2,49152,IF(E4=1,32768,IF(E4&gt;16,65535,"0"))))))))))))))))),4))),4)&amp;":"&amp;DEC2HEX(_xlfn.BITAND(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1))+1,FIND("*",SUBSTITUTE(IF(D4="","",IFERROR(SUBSTITUTE(D4,"::",REPT(":0000",8-(IF(FIND("::",D4)&gt;0,LEN(D4)-LEN(SUBSTITUTE(D4,":","")))/LEN(":")))&amp;":"),D4)),":","*",2))-1-FIND("*",SUBSTITUTE(IF(D4="","",IFERROR(SUBSTITUTE(D4,"::",REPT(":0000",8-(IF(FIND("::",D4)&gt;0,LEN(D4)-LEN(SUBSTITUTE(D4,":","")))/LEN(":")))&amp;":"),D4)),":","*",1)))),HEX2DEC(DEC2HEX(IF(E4-16=16,65535,IF(E4-16=15,65534,IF(E4-16=14,65532,IF(E4-16=13,65528,IF(E4-16=12,65520,IF(E4-16=11,65504,IF(E4-16=10,65472,IF(E4-16=9,65408,IF(E4-16=8,65280,IF(E4-16=7,65024,IF(E4-16=6,64512,IF(E4-16=5,63488,IF(E4-16=4,61440,IF(E4-16=3,57344,IF(E4-16=2,49152,IF(E4-16=1,32768,IF(E4&gt;32,65535,"0"))))))))))))))))),4))),4)&amp;":"&amp;DEC2HEX(_xlfn.BITAND(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2))+1,FIND("*",SUBSTITUTE(IF(D4="","",IFERROR(SUBSTITUTE(D4,"::",REPT(":0000",8-(IF(FIND("::",D4)&gt;0,LEN(D4)-LEN(SUBSTITUTE(D4,":","")))/LEN(":")))&amp;":"),D4)),":","*",3))-1-FIND("*",SUBSTITUTE(IF(D4="","",IFERROR(SUBSTITUTE(D4,"::",REPT(":0000",8-(IF(FIND("::",D4)&gt;0,LEN(D4)-LEN(SUBSTITUTE(D4,":","")))/LEN(":")))&amp;":"),D4)),":","*",2)))),HEX2DEC(DEC2HEX(IF(E4-32=16,65535,IF(E4-32=15,65534,IF(E4-32=14,65532,IF(E4-32=13,65528,IF(E4-32=12,65520,IF(E4-32=11,65504,IF(E4-32=10,65472,IF(E4-32=9,65408,IF(E4-32=8,65280,IF(E4-32=7,65024,IF(E4-32=6,64512,IF(E4-32=5,63488,IF(E4-32=4,61440,IF(E4-32=3,57344,IF(E4-32=2,49152,IF(E4-32=1,32768,IF(E4&gt;48,65535,"0"))))))))))))))))),4))),4)&amp;":"&amp;DEC2HEX(_xlfn.BITAND(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3))+1,FIND("*",SUBSTITUTE(IF(D4="","",IFERROR(SUBSTITUTE(D4,"::",REPT(":0000",8-(IF(FIND("::",D4)&gt;0,LEN(D4)-LEN(SUBSTITUTE(D4,":","")))/LEN(":")))&amp;":"),D4)),":","*",4))-1-FIND("*",SUBSTITUTE(IF(D4="","",IFERROR(SUBSTITUTE(D4,"::",REPT(":0000",8-(IF(FIND("::",D4)&gt;0,LEN(D4)-LEN(SUBSTITUTE(D4,":","")))/LEN(":")))&amp;":"),D4)),":","*",3)))),HEX2DEC(DEC2HEX(IF(E4-48=16,65535,IF(E4-48=15,65534,IF(E4-48=14,65532,IF(E4-48=13,65528,IF(E4-48=12,65520,IF(E4-48=11,65504,IF(E4-48=10,65472,IF(E4-48=9,65408,IF(E4-48=8,65280,IF(E4-48=7,65024,IF(E4-48=6,64512,IF(E4-48=5,63488,IF(E4-48=4,61440,IF(E4-48=3,57344,IF(E4-48=2,49152,IF(E4-48=1,32768,IF(E4&gt;64,65535,"0"))))))))))))))))),4))),4)&amp;":"&amp;DEC2HEX(_xlfn.BITAND(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4))+1,FIND("*",SUBSTITUTE(IF(D4="","",IFERROR(SUBSTITUTE(D4,"::",REPT(":0000",8-(IF(FIND("::",D4)&gt;0,LEN(D4)-LEN(SUBSTITUTE(D4,":","")))/LEN(":")))&amp;":"),D4)),":","*",5))-1-FIND("*",SUBSTITUTE(IF(D4="","",IFERROR(SUBSTITUTE(D4,"::",REPT(":0000",8-(IF(FIND("::",D4)&gt;0,LEN(D4)-LEN(SUBSTITUTE(D4,":","")))/LEN(":")))&amp;":"),D4)),":","*",4)))),HEX2DEC(DEC2HEX(IF(E4-64=16,65535,IF(E4-64=15,65534,IF(E4-64=14,65532,IF(E4-64=13,65528,IF(E4-64=12,65520,IF(E4-64=11,65504,IF(E4-64=10,65472,IF(E4-64=9,65408,IF(E4-64=8,65280,IF(E4-64=7,65024,IF(E4-64=6,64512,IF(E4-64=5,63488,IF(E4-64=4,61440,IF(E4-64=3,57344,IF(E4-64=2,49152,IF(E4-64=1,32768,IF(E4&gt;80,65535,"0"))))))))))))))))),4))),4)&amp;":"&amp;DEC2HEX(_xlfn.BITAND(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5))+1,FIND("*",SUBSTITUTE(IF(D4="","",IFERROR(SUBSTITUTE(D4,"::",REPT(":0000",8-(IF(FIND("::",D4)&gt;0,LEN(D4)-LEN(SUBSTITUTE(D4,":","")))/LEN(":")))&amp;":"),D4)),":","*",6))-1-FIND("*",SUBSTITUTE(IF(D4="","",IFERROR(SUBSTITUTE(D4,"::",REPT(":0000",8-(IF(FIND("::",D4)&gt;0,LEN(D4)-LEN(SUBSTITUTE(D4,":","")))/LEN(":")))&amp;":"),D4)),":","*",5)))),HEX2DEC(DEC2HEX(IF(E4-80=16,65535,IF(E4-80=15,65534,IF(E4-80=14,65532,IF(E4-80=13,65528,IF(E4-80=12,65520,IF(E4-80=11,65504,IF(E4-80=10,65472,IF(E4-80=9,65408,IF(E4-80=8,65280,IF(E4-80=7,65024,IF(E4-80=6,64512,IF(E4-80=5,63488,IF(E4-80=4,61440,IF(E4-80=3,57344,IF(E4-80=2,49152,IF(E4-80=1,32768,IF(E4&gt;96,65535,"0"))))))))))))))))),4))),4)&amp;":"&amp;DEC2HEX(_xlfn.BITAND(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6))+1,FIND("*",SUBSTITUTE(IF(D4="","",IFERROR(SUBSTITUTE(D4,"::",REPT(":0000",8-(IF(FIND("::",D4)&gt;0,LEN(D4)-LEN(SUBSTITUTE(D4,":","")))/LEN(":")))&amp;":"),D4)),":","*",7))-1-FIND("*",SUBSTITUTE(IF(D4="","",IFERROR(SUBSTITUTE(D4,"::",REPT(":0000",8-(IF(FIND("::",D4)&gt;0,LEN(D4)-LEN(SUBSTITUTE(D4,":","")))/LEN(":")))&amp;":"),D4)),":","*",6)))),HEX2DEC(DEC2HEX(IF(E4-96=16,65535,IF(E4-96=15,65534,IF(E4-96=14,65532,IF(E4-96=13,65528,IF(E4-96=12,65520,IF(E4-96=11,65504,IF(E4-96=10,65472,IF(E4-96=9,65408,IF(E4-96=8,65280,IF(E4-96=7,65024,IF(E4-96=6,64512,IF(E4-96=5,63488,IF(E4-96=4,61440,IF(E4-96=3,57344,IF(E4-96=2,49152,IF(E4-96=1,32768,IF(E4&gt;112,65535,"0"))))))))))))))))),4))),4)&amp;":"&amp;DEC2HEX(_xlfn.BITAND(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7))+1,LEN(IF(D4="","",IFERROR(SUBSTITUTE(D4,"::",REPT(":0000",8-(IF(FIND("::",D4)&gt;0,LEN(D4)-LEN(SUBSTITUTE(D4,":","")))/LEN(":")))&amp;":"),D4)))-FIND("*",SUBSTITUTE(IF(D4="","",IFERROR(SUBSTITUTE(D4,"::",REPT(":0000",8-(IF(FIND("::",D4)&gt;0,LEN(D4)-LEN(SUBSTITUTE(D4,":","")))/LEN(":")))&amp;":"),D4)),":","*",7)))),HEX2DEC(DEC2HEX(IF(E4-112=16,65535,IF(E4-112=15,65534,IF(E4-112=14,65532,IF(E4-112=13,65528,IF(E4-112=12,65520,IF(E4-112=11,65504,IF(E4-112=10,65472,IF(E4-112=9,65408,IF(E4-112=8,65280,IF(E4-112=7,65024,IF(E4-112=6,64512,IF(E4-112=5,63488,IF(E4-112=4,61440,IF(E4-112=3,57344,IF(E4-112=2,49152,IF(E4-112=1,32768,IF(E4&gt;128,65535,"0"))))))))))))))))),4))),4),""),""),"ERROR")</f>
        <v/>
      </c>
      <c r="G4" s="36" t="str">
        <f>IFERROR(IF(D4&lt;&gt;"",IF(E4&lt;&gt;"",DEC2HEX(_xlfn.BITOR(_xlfn.BITXOR(HEX2DEC(DEC2HEX(IF(E4=16,65535,IF(E4=15,65534,IF(E4=14,65532,IF(E4=13,65528,IF(E4=12,65520,IF(E4=11,65504,IF(E4=10,65472,IF(E4=9,65408,IF(E4=8,65280,IF(E4=7,65024,IF(E4=6,64512,IF(E4=5,63488,IF(E4=4,61440,IF(E4=3,57344,IF(E4=2,49152,IF(E4=1,32768,IF(E4&gt;16,65535,"0"))))))))))))))))),4)),65535),HEX2DEC(LEFT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1))-1))),4)&amp;":"&amp;DEC2HEX(_xlfn.BITOR(_xlfn.BITXOR(HEX2DEC(DEC2HEX(IF(E4-16=16,65535,IF(E4-16=15,65534,IF(E4-16=14,65532,IF(E4-16=13,65528,IF(E4-16=12,65520,IF(E4-16=11,65504,IF(E4-16=10,65472,IF(E4-16=9,65408,IF(E4-16=8,65280,IF(E4-16=7,65024,IF(E4-16=6,64512,IF(E4-16=5,63488,IF(E4-16=4,61440,IF(E4-16=3,57344,IF(E4-16=2,49152,IF(E4-16=1,32768,IF(E4&gt;32,65535,"0"))))))))))))))))),4)),65535),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1))+1,FIND("*",SUBSTITUTE(IF(D4="","",IFERROR(SUBSTITUTE(D4,"::",REPT(":0000",8-(IF(FIND("::",D4)&gt;0,LEN(D4)-LEN(SUBSTITUTE(D4,":","")))/LEN(":")))&amp;":"),D4)),":","*",2))-1-FIND("*",SUBSTITUTE(IF(D4="","",IFERROR(SUBSTITUTE(D4,"::",REPT(":0000",8-(IF(FIND("::",D4)&gt;0,LEN(D4)-LEN(SUBSTITUTE(D4,":","")))/LEN(":")))&amp;":"),D4)),":","*",1))))),4)&amp;":"&amp;DEC2HEX(_xlfn.BITOR(_xlfn.BITXOR(HEX2DEC(DEC2HEX(IF(E4-32=16,65535,IF(E4-32=15,65534,IF(E4-32=14,65532,IF(E4-32=13,65528,IF(E4-32=12,65520,IF(E4-32=11,65504,IF(E4-32=10,65472,IF(E4-32=9,65408,IF(E4-32=8,65280,IF(E4-32=7,65024,IF(E4-32=6,64512,IF(E4-32=5,63488,IF(E4-32=4,61440,IF(E4-32=3,57344,IF(E4-32=2,49152,IF(E4-32=1,32768,IF(E4&gt;48,65535,"0"))))))))))))))))),4)),65535),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2))+1,FIND("*",SUBSTITUTE(IF(D4="","",IFERROR(SUBSTITUTE(D4,"::",REPT(":0000",8-(IF(FIND("::",D4)&gt;0,LEN(D4)-LEN(SUBSTITUTE(D4,":","")))/LEN(":")))&amp;":"),D4)),":","*",3))-1-FIND("*",SUBSTITUTE(IF(D4="","",IFERROR(SUBSTITUTE(D4,"::",REPT(":0000",8-(IF(FIND("::",D4)&gt;0,LEN(D4)-LEN(SUBSTITUTE(D4,":","")))/LEN(":")))&amp;":"),D4)),":","*",2))))),4)&amp;":"&amp;DEC2HEX(_xlfn.BITOR(_xlfn.BITXOR(HEX2DEC(DEC2HEX(IF(E4-48=16,65535,IF(E4-48=15,65534,IF(E4-48=14,65532,IF(E4-48=13,65528,IF(E4-48=12,65520,IF(E4-48=11,65504,IF(E4-48=10,65472,IF(E4-48=9,65408,IF(E4-48=8,65280,IF(E4-48=7,65024,IF(E4-48=6,64512,IF(E4-48=5,63488,IF(E4-48=4,61440,IF(E4-48=3,57344,IF(E4-48=2,49152,IF(E4-48=1,32768,IF(E4&gt;64,65535,"0"))))))))))))))))),4)),65535),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3))+1,FIND("*",SUBSTITUTE(IF(D4="","",IFERROR(SUBSTITUTE(D4,"::",REPT(":0000",8-(IF(FIND("::",D4)&gt;0,LEN(D4)-LEN(SUBSTITUTE(D4,":","")))/LEN(":")))&amp;":"),D4)),":","*",4))-1-FIND("*",SUBSTITUTE(IF(D4="","",IFERROR(SUBSTITUTE(D4,"::",REPT(":0000",8-(IF(FIND("::",D4)&gt;0,LEN(D4)-LEN(SUBSTITUTE(D4,":","")))/LEN(":")))&amp;":"),D4)),":","*",3))))),4)&amp;":"&amp;DEC2HEX(_xlfn.BITOR(_xlfn.BITXOR(HEX2DEC(DEC2HEX(IF(E4-64=16,65535,IF(E4-64=15,65534,IF(E4-64=14,65532,IF(E4-64=13,65528,IF(E4-64=12,65520,IF(E4-64=11,65504,IF(E4-64=10,65472,IF(E4-64=9,65408,IF(E4-64=8,65280,IF(E4-64=7,65024,IF(E4-64=6,64512,IF(E4-64=5,63488,IF(E4-64=4,61440,IF(E4-64=3,57344,IF(E4-64=2,49152,IF(E4-64=1,32768,IF(E4&gt;80,65535,"0"))))))))))))))))),4)),65535),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4))+1,FIND("*",SUBSTITUTE(IF(D4="","",IFERROR(SUBSTITUTE(D4,"::",REPT(":0000",8-(IF(FIND("::",D4)&gt;0,LEN(D4)-LEN(SUBSTITUTE(D4,":","")))/LEN(":")))&amp;":"),D4)),":","*",5))-1-FIND("*",SUBSTITUTE(IF(D4="","",IFERROR(SUBSTITUTE(D4,"::",REPT(":0000",8-(IF(FIND("::",D4)&gt;0,LEN(D4)-LEN(SUBSTITUTE(D4,":","")))/LEN(":")))&amp;":"),D4)),":","*",4))))),4)&amp;":"&amp;DEC2HEX(_xlfn.BITOR(_xlfn.BITXOR(HEX2DEC(DEC2HEX(IF(E4-80=16,65535,IF(E4-80=15,65534,IF(E4-80=14,65532,IF(E4-80=13,65528,IF(E4-80=12,65520,IF(E4-80=11,65504,IF(E4-80=10,65472,IF(E4-80=9,65408,IF(E4-80=8,65280,IF(E4-80=7,65024,IF(E4-80=6,64512,IF(E4-80=5,63488,IF(E4-80=4,61440,IF(E4-80=3,57344,IF(E4-80=2,49152,IF(E4-80=1,32768,IF(E4&gt;96,65535,"0"))))))))))))))))),4)),65535),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5))+1,FIND("*",SUBSTITUTE(IF(D4="","",IFERROR(SUBSTITUTE(D4,"::",REPT(":0000",8-(IF(FIND("::",D4)&gt;0,LEN(D4)-LEN(SUBSTITUTE(D4,":","")))/LEN(":")))&amp;":"),D4)),":","*",6))-1-FIND("*",SUBSTITUTE(IF(D4="","",IFERROR(SUBSTITUTE(D4,"::",REPT(":0000",8-(IF(FIND("::",D4)&gt;0,LEN(D4)-LEN(SUBSTITUTE(D4,":","")))/LEN(":")))&amp;":"),D4)),":","*",5))))),4)&amp;":"&amp;DEC2HEX(_xlfn.BITOR(_xlfn.BITXOR(HEX2DEC(DEC2HEX(IF(E4-96=16,65535,IF(E4-96=15,65534,IF(E4-96=14,65532,IF(E4-96=13,65528,IF(E4-96=12,65520,IF(E4-96=11,65504,IF(E4-96=10,65472,IF(E4-96=9,65408,IF(E4-96=8,65280,IF(E4-96=7,65024,IF(E4-96=6,64512,IF(E4-96=5,63488,IF(E4-96=4,61440,IF(E4-96=3,57344,IF(E4-96=2,49152,IF(E4-96=1,32768,IF(E4&gt;112,65535,"0"))))))))))))))))),4)),65535),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6))+1,FIND("*",SUBSTITUTE(IF(D4="","",IFERROR(SUBSTITUTE(D4,"::",REPT(":0000",8-(IF(FIND("::",D4)&gt;0,LEN(D4)-LEN(SUBSTITUTE(D4,":","")))/LEN(":")))&amp;":"),D4)),":","*",7))-1-FIND("*",SUBSTITUTE(IF(D4="","",IFERROR(SUBSTITUTE(D4,"::",REPT(":0000",8-(IF(FIND("::",D4)&gt;0,LEN(D4)-LEN(SUBSTITUTE(D4,":","")))/LEN(":")))&amp;":"),D4)),":","*",6))))),4)&amp;":"&amp;DEC2HEX(_xlfn.BITOR(_xlfn.BITXOR(HEX2DEC(DEC2HEX(IF(E4-112=16,65535,IF(E4-112=15,65534,IF(E4-112=14,65532,IF(E4-112=13,65528,IF(E4-112=12,65520,IF(E4-112=11,65504,IF(E4-112=10,65472,IF(E4-112=9,65408,IF(E4-112=8,65280,IF(E4-112=7,65024,IF(E4-112=6,64512,IF(E4-112=5,63488,IF(E4-112=4,61440,IF(E4-112=3,57344,IF(E4-112=2,49152,IF(E4-112=1,32768,IF(E4&gt;128,65535,"0"))))))))))))))))),4)),65535),HEX2DEC(MID(IF(D4="","",IFERROR(SUBSTITUTE(D4,"::",REPT(":0000",8-(IF(FIND("::",D4)&gt;0,LEN(D4)-LEN(SUBSTITUTE(D4,":","")))/LEN(":")))&amp;":"),D4)),FIND("*",SUBSTITUTE(IF(D4="","",IFERROR(SUBSTITUTE(D4,"::",REPT(":0000",8-(IF(FIND("::",D4)&gt;0,LEN(D4)-LEN(SUBSTITUTE(D4,":","")))/LEN(":")))&amp;":"),D4)),":","*",7))+1,LEN(IF(D4="","",IFERROR(SUBSTITUTE(D4,"::",REPT(":0000",8-(IF(FIND("::",D4)&gt;0,LEN(D4)-LEN(SUBSTITUTE(D4,":","")))/LEN(":")))&amp;":"),D4)))-FIND("*",SUBSTITUTE(IF(D4="","",IFERROR(SUBSTITUTE(D4,"::",REPT(":0000",8-(IF(FIND("::",D4)&gt;0,LEN(D4)-LEN(SUBSTITUTE(D4,":","")))/LEN(":")))&amp;":"),D4)),":","*",7))))),4),""),""),"ERROR")</f>
        <v/>
      </c>
      <c r="H4" s="4" t="str">
        <f>IFERROR(IF(E4&lt;&gt;"",2^(128-E4)/2^64,""),"ERROR")</f>
        <v/>
      </c>
    </row>
    <row r="5" spans="1:10" x14ac:dyDescent="0.15">
      <c r="B5" s="62"/>
      <c r="C5" s="62"/>
      <c r="D5" s="30"/>
      <c r="E5" s="17"/>
      <c r="F5" s="16" t="str">
        <f t="shared" ref="F5:F10" si="0">IFERROR(IF(D5&lt;&gt;"",IF(E5&lt;&gt;"",DEC2HEX(_xlfn.BITAND(HEX2DEC(LEFT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1))-1)),HEX2DEC(DEC2HEX(IF(E5=16,65535,IF(E5=15,65534,IF(E5=14,65532,IF(E5=13,65528,IF(E5=12,65520,IF(E5=11,65504,IF(E5=10,65472,IF(E5=9,65408,IF(E5=8,65280,IF(E5=7,65024,IF(E5=6,64512,IF(E5=5,63488,IF(E5=4,61440,IF(E5=3,57344,IF(E5=2,49152,IF(E5=1,32768,IF(E5&gt;16,65535,"0"))))))))))))))))),4))),4)&amp;":"&amp;DEC2HEX(_xlfn.BITAND(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1))+1,FIND("*",SUBSTITUTE(IF(D5="","",IFERROR(SUBSTITUTE(D5,"::",REPT(":0000",8-(IF(FIND("::",D5)&gt;0,LEN(D5)-LEN(SUBSTITUTE(D5,":","")))/LEN(":")))&amp;":"),D5)),":","*",2))-1-FIND("*",SUBSTITUTE(IF(D5="","",IFERROR(SUBSTITUTE(D5,"::",REPT(":0000",8-(IF(FIND("::",D5)&gt;0,LEN(D5)-LEN(SUBSTITUTE(D5,":","")))/LEN(":")))&amp;":"),D5)),":","*",1)))),HEX2DEC(DEC2HEX(IF(E5-16=16,65535,IF(E5-16=15,65534,IF(E5-16=14,65532,IF(E5-16=13,65528,IF(E5-16=12,65520,IF(E5-16=11,65504,IF(E5-16=10,65472,IF(E5-16=9,65408,IF(E5-16=8,65280,IF(E5-16=7,65024,IF(E5-16=6,64512,IF(E5-16=5,63488,IF(E5-16=4,61440,IF(E5-16=3,57344,IF(E5-16=2,49152,IF(E5-16=1,32768,IF(E5&gt;32,65535,"0"))))))))))))))))),4))),4)&amp;":"&amp;DEC2HEX(_xlfn.BITAND(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2))+1,FIND("*",SUBSTITUTE(IF(D5="","",IFERROR(SUBSTITUTE(D5,"::",REPT(":0000",8-(IF(FIND("::",D5)&gt;0,LEN(D5)-LEN(SUBSTITUTE(D5,":","")))/LEN(":")))&amp;":"),D5)),":","*",3))-1-FIND("*",SUBSTITUTE(IF(D5="","",IFERROR(SUBSTITUTE(D5,"::",REPT(":0000",8-(IF(FIND("::",D5)&gt;0,LEN(D5)-LEN(SUBSTITUTE(D5,":","")))/LEN(":")))&amp;":"),D5)),":","*",2)))),HEX2DEC(DEC2HEX(IF(E5-32=16,65535,IF(E5-32=15,65534,IF(E5-32=14,65532,IF(E5-32=13,65528,IF(E5-32=12,65520,IF(E5-32=11,65504,IF(E5-32=10,65472,IF(E5-32=9,65408,IF(E5-32=8,65280,IF(E5-32=7,65024,IF(E5-32=6,64512,IF(E5-32=5,63488,IF(E5-32=4,61440,IF(E5-32=3,57344,IF(E5-32=2,49152,IF(E5-32=1,32768,IF(E5&gt;48,65535,"0"))))))))))))))))),4))),4)&amp;":"&amp;DEC2HEX(_xlfn.BITAND(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3))+1,FIND("*",SUBSTITUTE(IF(D5="","",IFERROR(SUBSTITUTE(D5,"::",REPT(":0000",8-(IF(FIND("::",D5)&gt;0,LEN(D5)-LEN(SUBSTITUTE(D5,":","")))/LEN(":")))&amp;":"),D5)),":","*",4))-1-FIND("*",SUBSTITUTE(IF(D5="","",IFERROR(SUBSTITUTE(D5,"::",REPT(":0000",8-(IF(FIND("::",D5)&gt;0,LEN(D5)-LEN(SUBSTITUTE(D5,":","")))/LEN(":")))&amp;":"),D5)),":","*",3)))),HEX2DEC(DEC2HEX(IF(E5-48=16,65535,IF(E5-48=15,65534,IF(E5-48=14,65532,IF(E5-48=13,65528,IF(E5-48=12,65520,IF(E5-48=11,65504,IF(E5-48=10,65472,IF(E5-48=9,65408,IF(E5-48=8,65280,IF(E5-48=7,65024,IF(E5-48=6,64512,IF(E5-48=5,63488,IF(E5-48=4,61440,IF(E5-48=3,57344,IF(E5-48=2,49152,IF(E5-48=1,32768,IF(E5&gt;64,65535,"0"))))))))))))))))),4))),4)&amp;":"&amp;DEC2HEX(_xlfn.BITAND(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4))+1,FIND("*",SUBSTITUTE(IF(D5="","",IFERROR(SUBSTITUTE(D5,"::",REPT(":0000",8-(IF(FIND("::",D5)&gt;0,LEN(D5)-LEN(SUBSTITUTE(D5,":","")))/LEN(":")))&amp;":"),D5)),":","*",5))-1-FIND("*",SUBSTITUTE(IF(D5="","",IFERROR(SUBSTITUTE(D5,"::",REPT(":0000",8-(IF(FIND("::",D5)&gt;0,LEN(D5)-LEN(SUBSTITUTE(D5,":","")))/LEN(":")))&amp;":"),D5)),":","*",4)))),HEX2DEC(DEC2HEX(IF(E5-64=16,65535,IF(E5-64=15,65534,IF(E5-64=14,65532,IF(E5-64=13,65528,IF(E5-64=12,65520,IF(E5-64=11,65504,IF(E5-64=10,65472,IF(E5-64=9,65408,IF(E5-64=8,65280,IF(E5-64=7,65024,IF(E5-64=6,64512,IF(E5-64=5,63488,IF(E5-64=4,61440,IF(E5-64=3,57344,IF(E5-64=2,49152,IF(E5-64=1,32768,IF(E5&gt;80,65535,"0"))))))))))))))))),4))),4)&amp;":"&amp;DEC2HEX(_xlfn.BITAND(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5))+1,FIND("*",SUBSTITUTE(IF(D5="","",IFERROR(SUBSTITUTE(D5,"::",REPT(":0000",8-(IF(FIND("::",D5)&gt;0,LEN(D5)-LEN(SUBSTITUTE(D5,":","")))/LEN(":")))&amp;":"),D5)),":","*",6))-1-FIND("*",SUBSTITUTE(IF(D5="","",IFERROR(SUBSTITUTE(D5,"::",REPT(":0000",8-(IF(FIND("::",D5)&gt;0,LEN(D5)-LEN(SUBSTITUTE(D5,":","")))/LEN(":")))&amp;":"),D5)),":","*",5)))),HEX2DEC(DEC2HEX(IF(E5-80=16,65535,IF(E5-80=15,65534,IF(E5-80=14,65532,IF(E5-80=13,65528,IF(E5-80=12,65520,IF(E5-80=11,65504,IF(E5-80=10,65472,IF(E5-80=9,65408,IF(E5-80=8,65280,IF(E5-80=7,65024,IF(E5-80=6,64512,IF(E5-80=5,63488,IF(E5-80=4,61440,IF(E5-80=3,57344,IF(E5-80=2,49152,IF(E5-80=1,32768,IF(E5&gt;96,65535,"0"))))))))))))))))),4))),4)&amp;":"&amp;DEC2HEX(_xlfn.BITAND(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6))+1,FIND("*",SUBSTITUTE(IF(D5="","",IFERROR(SUBSTITUTE(D5,"::",REPT(":0000",8-(IF(FIND("::",D5)&gt;0,LEN(D5)-LEN(SUBSTITUTE(D5,":","")))/LEN(":")))&amp;":"),D5)),":","*",7))-1-FIND("*",SUBSTITUTE(IF(D5="","",IFERROR(SUBSTITUTE(D5,"::",REPT(":0000",8-(IF(FIND("::",D5)&gt;0,LEN(D5)-LEN(SUBSTITUTE(D5,":","")))/LEN(":")))&amp;":"),D5)),":","*",6)))),HEX2DEC(DEC2HEX(IF(E5-96=16,65535,IF(E5-96=15,65534,IF(E5-96=14,65532,IF(E5-96=13,65528,IF(E5-96=12,65520,IF(E5-96=11,65504,IF(E5-96=10,65472,IF(E5-96=9,65408,IF(E5-96=8,65280,IF(E5-96=7,65024,IF(E5-96=6,64512,IF(E5-96=5,63488,IF(E5-96=4,61440,IF(E5-96=3,57344,IF(E5-96=2,49152,IF(E5-96=1,32768,IF(E5&gt;112,65535,"0"))))))))))))))))),4))),4)&amp;":"&amp;DEC2HEX(_xlfn.BITAND(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7))+1,LEN(IF(D5="","",IFERROR(SUBSTITUTE(D5,"::",REPT(":0000",8-(IF(FIND("::",D5)&gt;0,LEN(D5)-LEN(SUBSTITUTE(D5,":","")))/LEN(":")))&amp;":"),D5)))-FIND("*",SUBSTITUTE(IF(D5="","",IFERROR(SUBSTITUTE(D5,"::",REPT(":0000",8-(IF(FIND("::",D5)&gt;0,LEN(D5)-LEN(SUBSTITUTE(D5,":","")))/LEN(":")))&amp;":"),D5)),":","*",7)))),HEX2DEC(DEC2HEX(IF(E5-112=16,65535,IF(E5-112=15,65534,IF(E5-112=14,65532,IF(E5-112=13,65528,IF(E5-112=12,65520,IF(E5-112=11,65504,IF(E5-112=10,65472,IF(E5-112=9,65408,IF(E5-112=8,65280,IF(E5-112=7,65024,IF(E5-112=6,64512,IF(E5-112=5,63488,IF(E5-112=4,61440,IF(E5-112=3,57344,IF(E5-112=2,49152,IF(E5-112=1,32768,IF(E5&gt;128,65535,"0"))))))))))))))))),4))),4),""),""),"ERROR")</f>
        <v/>
      </c>
      <c r="G5" s="16" t="str">
        <f t="shared" ref="G5:G10" si="1">IFERROR(IF(D5&lt;&gt;"",IF(E5&lt;&gt;"",DEC2HEX(_xlfn.BITOR(_xlfn.BITXOR(HEX2DEC(DEC2HEX(IF(E5=16,65535,IF(E5=15,65534,IF(E5=14,65532,IF(E5=13,65528,IF(E5=12,65520,IF(E5=11,65504,IF(E5=10,65472,IF(E5=9,65408,IF(E5=8,65280,IF(E5=7,65024,IF(E5=6,64512,IF(E5=5,63488,IF(E5=4,61440,IF(E5=3,57344,IF(E5=2,49152,IF(E5=1,32768,IF(E5&gt;16,65535,"0"))))))))))))))))),4)),65535),HEX2DEC(LEFT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1))-1))),4)&amp;":"&amp;DEC2HEX(_xlfn.BITOR(_xlfn.BITXOR(HEX2DEC(DEC2HEX(IF(E5-16=16,65535,IF(E5-16=15,65534,IF(E5-16=14,65532,IF(E5-16=13,65528,IF(E5-16=12,65520,IF(E5-16=11,65504,IF(E5-16=10,65472,IF(E5-16=9,65408,IF(E5-16=8,65280,IF(E5-16=7,65024,IF(E5-16=6,64512,IF(E5-16=5,63488,IF(E5-16=4,61440,IF(E5-16=3,57344,IF(E5-16=2,49152,IF(E5-16=1,32768,IF(E5&gt;32,65535,"0"))))))))))))))))),4)),65535),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1))+1,FIND("*",SUBSTITUTE(IF(D5="","",IFERROR(SUBSTITUTE(D5,"::",REPT(":0000",8-(IF(FIND("::",D5)&gt;0,LEN(D5)-LEN(SUBSTITUTE(D5,":","")))/LEN(":")))&amp;":"),D5)),":","*",2))-1-FIND("*",SUBSTITUTE(IF(D5="","",IFERROR(SUBSTITUTE(D5,"::",REPT(":0000",8-(IF(FIND("::",D5)&gt;0,LEN(D5)-LEN(SUBSTITUTE(D5,":","")))/LEN(":")))&amp;":"),D5)),":","*",1))))),4)&amp;":"&amp;DEC2HEX(_xlfn.BITOR(_xlfn.BITXOR(HEX2DEC(DEC2HEX(IF(E5-32=16,65535,IF(E5-32=15,65534,IF(E5-32=14,65532,IF(E5-32=13,65528,IF(E5-32=12,65520,IF(E5-32=11,65504,IF(E5-32=10,65472,IF(E5-32=9,65408,IF(E5-32=8,65280,IF(E5-32=7,65024,IF(E5-32=6,64512,IF(E5-32=5,63488,IF(E5-32=4,61440,IF(E5-32=3,57344,IF(E5-32=2,49152,IF(E5-32=1,32768,IF(E5&gt;48,65535,"0"))))))))))))))))),4)),65535),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2))+1,FIND("*",SUBSTITUTE(IF(D5="","",IFERROR(SUBSTITUTE(D5,"::",REPT(":0000",8-(IF(FIND("::",D5)&gt;0,LEN(D5)-LEN(SUBSTITUTE(D5,":","")))/LEN(":")))&amp;":"),D5)),":","*",3))-1-FIND("*",SUBSTITUTE(IF(D5="","",IFERROR(SUBSTITUTE(D5,"::",REPT(":0000",8-(IF(FIND("::",D5)&gt;0,LEN(D5)-LEN(SUBSTITUTE(D5,":","")))/LEN(":")))&amp;":"),D5)),":","*",2))))),4)&amp;":"&amp;DEC2HEX(_xlfn.BITOR(_xlfn.BITXOR(HEX2DEC(DEC2HEX(IF(E5-48=16,65535,IF(E5-48=15,65534,IF(E5-48=14,65532,IF(E5-48=13,65528,IF(E5-48=12,65520,IF(E5-48=11,65504,IF(E5-48=10,65472,IF(E5-48=9,65408,IF(E5-48=8,65280,IF(E5-48=7,65024,IF(E5-48=6,64512,IF(E5-48=5,63488,IF(E5-48=4,61440,IF(E5-48=3,57344,IF(E5-48=2,49152,IF(E5-48=1,32768,IF(E5&gt;64,65535,"0"))))))))))))))))),4)),65535),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3))+1,FIND("*",SUBSTITUTE(IF(D5="","",IFERROR(SUBSTITUTE(D5,"::",REPT(":0000",8-(IF(FIND("::",D5)&gt;0,LEN(D5)-LEN(SUBSTITUTE(D5,":","")))/LEN(":")))&amp;":"),D5)),":","*",4))-1-FIND("*",SUBSTITUTE(IF(D5="","",IFERROR(SUBSTITUTE(D5,"::",REPT(":0000",8-(IF(FIND("::",D5)&gt;0,LEN(D5)-LEN(SUBSTITUTE(D5,":","")))/LEN(":")))&amp;":"),D5)),":","*",3))))),4)&amp;":"&amp;DEC2HEX(_xlfn.BITOR(_xlfn.BITXOR(HEX2DEC(DEC2HEX(IF(E5-64=16,65535,IF(E5-64=15,65534,IF(E5-64=14,65532,IF(E5-64=13,65528,IF(E5-64=12,65520,IF(E5-64=11,65504,IF(E5-64=10,65472,IF(E5-64=9,65408,IF(E5-64=8,65280,IF(E5-64=7,65024,IF(E5-64=6,64512,IF(E5-64=5,63488,IF(E5-64=4,61440,IF(E5-64=3,57344,IF(E5-64=2,49152,IF(E5-64=1,32768,IF(E5&gt;80,65535,"0"))))))))))))))))),4)),65535),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4))+1,FIND("*",SUBSTITUTE(IF(D5="","",IFERROR(SUBSTITUTE(D5,"::",REPT(":0000",8-(IF(FIND("::",D5)&gt;0,LEN(D5)-LEN(SUBSTITUTE(D5,":","")))/LEN(":")))&amp;":"),D5)),":","*",5))-1-FIND("*",SUBSTITUTE(IF(D5="","",IFERROR(SUBSTITUTE(D5,"::",REPT(":0000",8-(IF(FIND("::",D5)&gt;0,LEN(D5)-LEN(SUBSTITUTE(D5,":","")))/LEN(":")))&amp;":"),D5)),":","*",4))))),4)&amp;":"&amp;DEC2HEX(_xlfn.BITOR(_xlfn.BITXOR(HEX2DEC(DEC2HEX(IF(E5-80=16,65535,IF(E5-80=15,65534,IF(E5-80=14,65532,IF(E5-80=13,65528,IF(E5-80=12,65520,IF(E5-80=11,65504,IF(E5-80=10,65472,IF(E5-80=9,65408,IF(E5-80=8,65280,IF(E5-80=7,65024,IF(E5-80=6,64512,IF(E5-80=5,63488,IF(E5-80=4,61440,IF(E5-80=3,57344,IF(E5-80=2,49152,IF(E5-80=1,32768,IF(E5&gt;96,65535,"0"))))))))))))))))),4)),65535),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5))+1,FIND("*",SUBSTITUTE(IF(D5="","",IFERROR(SUBSTITUTE(D5,"::",REPT(":0000",8-(IF(FIND("::",D5)&gt;0,LEN(D5)-LEN(SUBSTITUTE(D5,":","")))/LEN(":")))&amp;":"),D5)),":","*",6))-1-FIND("*",SUBSTITUTE(IF(D5="","",IFERROR(SUBSTITUTE(D5,"::",REPT(":0000",8-(IF(FIND("::",D5)&gt;0,LEN(D5)-LEN(SUBSTITUTE(D5,":","")))/LEN(":")))&amp;":"),D5)),":","*",5))))),4)&amp;":"&amp;DEC2HEX(_xlfn.BITOR(_xlfn.BITXOR(HEX2DEC(DEC2HEX(IF(E5-96=16,65535,IF(E5-96=15,65534,IF(E5-96=14,65532,IF(E5-96=13,65528,IF(E5-96=12,65520,IF(E5-96=11,65504,IF(E5-96=10,65472,IF(E5-96=9,65408,IF(E5-96=8,65280,IF(E5-96=7,65024,IF(E5-96=6,64512,IF(E5-96=5,63488,IF(E5-96=4,61440,IF(E5-96=3,57344,IF(E5-96=2,49152,IF(E5-96=1,32768,IF(E5&gt;112,65535,"0"))))))))))))))))),4)),65535),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6))+1,FIND("*",SUBSTITUTE(IF(D5="","",IFERROR(SUBSTITUTE(D5,"::",REPT(":0000",8-(IF(FIND("::",D5)&gt;0,LEN(D5)-LEN(SUBSTITUTE(D5,":","")))/LEN(":")))&amp;":"),D5)),":","*",7))-1-FIND("*",SUBSTITUTE(IF(D5="","",IFERROR(SUBSTITUTE(D5,"::",REPT(":0000",8-(IF(FIND("::",D5)&gt;0,LEN(D5)-LEN(SUBSTITUTE(D5,":","")))/LEN(":")))&amp;":"),D5)),":","*",6))))),4)&amp;":"&amp;DEC2HEX(_xlfn.BITOR(_xlfn.BITXOR(HEX2DEC(DEC2HEX(IF(E5-112=16,65535,IF(E5-112=15,65534,IF(E5-112=14,65532,IF(E5-112=13,65528,IF(E5-112=12,65520,IF(E5-112=11,65504,IF(E5-112=10,65472,IF(E5-112=9,65408,IF(E5-112=8,65280,IF(E5-112=7,65024,IF(E5-112=6,64512,IF(E5-112=5,63488,IF(E5-112=4,61440,IF(E5-112=3,57344,IF(E5-112=2,49152,IF(E5-112=1,32768,IF(E5&gt;128,65535,"0"))))))))))))))))),4)),65535),HEX2DEC(MID(IF(D5="","",IFERROR(SUBSTITUTE(D5,"::",REPT(":0000",8-(IF(FIND("::",D5)&gt;0,LEN(D5)-LEN(SUBSTITUTE(D5,":","")))/LEN(":")))&amp;":"),D5)),FIND("*",SUBSTITUTE(IF(D5="","",IFERROR(SUBSTITUTE(D5,"::",REPT(":0000",8-(IF(FIND("::",D5)&gt;0,LEN(D5)-LEN(SUBSTITUTE(D5,":","")))/LEN(":")))&amp;":"),D5)),":","*",7))+1,LEN(IF(D5="","",IFERROR(SUBSTITUTE(D5,"::",REPT(":0000",8-(IF(FIND("::",D5)&gt;0,LEN(D5)-LEN(SUBSTITUTE(D5,":","")))/LEN(":")))&amp;":"),D5)))-FIND("*",SUBSTITUTE(IF(D5="","",IFERROR(SUBSTITUTE(D5,"::",REPT(":0000",8-(IF(FIND("::",D5)&gt;0,LEN(D5)-LEN(SUBSTITUTE(D5,":","")))/LEN(":")))&amp;":"),D5)),":","*",7))))),4),""),""),"ERROR")</f>
        <v/>
      </c>
      <c r="H5" s="13" t="str">
        <f t="shared" ref="H5:H10" si="2">IFERROR(IF(E5&lt;&gt;"",2^(128-E5)/2^64,""),"ERROR")</f>
        <v/>
      </c>
    </row>
    <row r="6" spans="1:10" x14ac:dyDescent="0.15">
      <c r="B6" s="56"/>
      <c r="C6" s="56"/>
      <c r="D6" s="31"/>
      <c r="E6" s="32"/>
      <c r="F6" s="28" t="str">
        <f t="shared" si="0"/>
        <v/>
      </c>
      <c r="G6" s="28" t="str">
        <f t="shared" si="1"/>
        <v/>
      </c>
      <c r="H6" s="29" t="str">
        <f t="shared" si="2"/>
        <v/>
      </c>
    </row>
    <row r="7" spans="1:10" x14ac:dyDescent="0.15">
      <c r="B7" s="56"/>
      <c r="C7" s="56"/>
      <c r="D7" s="31"/>
      <c r="E7" s="32"/>
      <c r="F7" s="28" t="str">
        <f t="shared" si="0"/>
        <v/>
      </c>
      <c r="G7" s="28" t="str">
        <f t="shared" si="1"/>
        <v/>
      </c>
      <c r="H7" s="29" t="str">
        <f t="shared" si="2"/>
        <v/>
      </c>
    </row>
    <row r="8" spans="1:10" x14ac:dyDescent="0.15">
      <c r="B8" s="56"/>
      <c r="C8" s="56"/>
      <c r="D8" s="31"/>
      <c r="E8" s="32"/>
      <c r="F8" s="28" t="str">
        <f t="shared" si="0"/>
        <v/>
      </c>
      <c r="G8" s="28" t="str">
        <f t="shared" si="1"/>
        <v/>
      </c>
      <c r="H8" s="29" t="str">
        <f t="shared" si="2"/>
        <v/>
      </c>
    </row>
    <row r="9" spans="1:10" x14ac:dyDescent="0.15">
      <c r="B9" s="56"/>
      <c r="C9" s="56"/>
      <c r="D9" s="28"/>
      <c r="E9" s="29"/>
      <c r="F9" s="28" t="str">
        <f t="shared" si="0"/>
        <v/>
      </c>
      <c r="G9" s="28" t="str">
        <f t="shared" si="1"/>
        <v/>
      </c>
      <c r="H9" s="29" t="str">
        <f t="shared" si="2"/>
        <v/>
      </c>
    </row>
    <row r="10" spans="1:10" x14ac:dyDescent="0.15">
      <c r="B10" s="56"/>
      <c r="C10" s="56"/>
      <c r="D10" s="28"/>
      <c r="E10" s="29"/>
      <c r="F10" s="28" t="str">
        <f t="shared" si="0"/>
        <v/>
      </c>
      <c r="G10" s="28" t="str">
        <f t="shared" si="1"/>
        <v/>
      </c>
      <c r="H10" s="29" t="str">
        <f t="shared" si="2"/>
        <v/>
      </c>
    </row>
    <row r="11" spans="1:10" x14ac:dyDescent="0.15">
      <c r="D11" s="27"/>
      <c r="E11" s="27"/>
      <c r="F11" s="27"/>
      <c r="G11" s="27"/>
      <c r="H11" s="27"/>
    </row>
    <row r="12" spans="1:10" ht="14.25" thickBot="1" x14ac:dyDescent="0.2">
      <c r="A12" s="1" t="s">
        <v>1</v>
      </c>
      <c r="B12" s="1" t="s">
        <v>4</v>
      </c>
      <c r="D12" s="27"/>
      <c r="E12" s="27"/>
      <c r="F12" s="27"/>
      <c r="G12" s="27"/>
      <c r="H12" s="27"/>
    </row>
    <row r="13" spans="1:10" ht="14.25" thickBot="1" x14ac:dyDescent="0.2">
      <c r="A13" s="21" t="s">
        <v>2</v>
      </c>
      <c r="B13" s="21" t="s">
        <v>3</v>
      </c>
      <c r="C13" s="21" t="s">
        <v>9</v>
      </c>
      <c r="D13" s="21" t="s">
        <v>4</v>
      </c>
      <c r="E13" s="21" t="s">
        <v>8</v>
      </c>
      <c r="F13" s="21" t="s">
        <v>5</v>
      </c>
      <c r="G13" s="21" t="s">
        <v>6</v>
      </c>
      <c r="H13" s="21" t="s">
        <v>37</v>
      </c>
      <c r="I13" s="21" t="s">
        <v>12</v>
      </c>
    </row>
    <row r="14" spans="1:10" x14ac:dyDescent="0.15">
      <c r="A14" s="2"/>
      <c r="B14" s="2"/>
      <c r="C14" s="23"/>
      <c r="D14" s="23" t="s">
        <v>43</v>
      </c>
      <c r="E14" s="35">
        <v>65</v>
      </c>
      <c r="F14" s="16" t="str">
        <f t="shared" ref="F14:F25" si="3">IFERROR(IF(D14&lt;&gt;"",IF(E14&lt;&gt;"",DEC2HEX(_xlfn.BITAND(HEX2DEC(LEFT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1))-1)),HEX2DEC(DEC2HEX(IF(E14=16,65535,IF(E14=15,65534,IF(E14=14,65532,IF(E14=13,65528,IF(E14=12,65520,IF(E14=11,65504,IF(E14=10,65472,IF(E14=9,65408,IF(E14=8,65280,IF(E14=7,65024,IF(E14=6,64512,IF(E14=5,63488,IF(E14=4,61440,IF(E14=3,57344,IF(E14=2,49152,IF(E14=1,32768,IF(E14&gt;16,65535,"0"))))))))))))))))),4))),4)&amp;":"&amp;DEC2HEX(_xlfn.BITAND(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1))+1,FIND("*",SUBSTITUTE(IF(D14="","",IFERROR(SUBSTITUTE(D14,"::",REPT(":0000",8-(IF(FIND("::",D14)&gt;0,LEN(D14)-LEN(SUBSTITUTE(D14,":","")))/LEN(":")))&amp;":"),D14)),":","*",2))-1-FIND("*",SUBSTITUTE(IF(D14="","",IFERROR(SUBSTITUTE(D14,"::",REPT(":0000",8-(IF(FIND("::",D14)&gt;0,LEN(D14)-LEN(SUBSTITUTE(D14,":","")))/LEN(":")))&amp;":"),D14)),":","*",1)))),HEX2DEC(DEC2HEX(IF(E14-16=16,65535,IF(E14-16=15,65534,IF(E14-16=14,65532,IF(E14-16=13,65528,IF(E14-16=12,65520,IF(E14-16=11,65504,IF(E14-16=10,65472,IF(E14-16=9,65408,IF(E14-16=8,65280,IF(E14-16=7,65024,IF(E14-16=6,64512,IF(E14-16=5,63488,IF(E14-16=4,61440,IF(E14-16=3,57344,IF(E14-16=2,49152,IF(E14-16=1,32768,IF(E14&gt;32,65535,"0"))))))))))))))))),4))),4)&amp;":"&amp;DEC2HEX(_xlfn.BITAND(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2))+1,FIND("*",SUBSTITUTE(IF(D14="","",IFERROR(SUBSTITUTE(D14,"::",REPT(":0000",8-(IF(FIND("::",D14)&gt;0,LEN(D14)-LEN(SUBSTITUTE(D14,":","")))/LEN(":")))&amp;":"),D14)),":","*",3))-1-FIND("*",SUBSTITUTE(IF(D14="","",IFERROR(SUBSTITUTE(D14,"::",REPT(":0000",8-(IF(FIND("::",D14)&gt;0,LEN(D14)-LEN(SUBSTITUTE(D14,":","")))/LEN(":")))&amp;":"),D14)),":","*",2)))),HEX2DEC(DEC2HEX(IF(E14-32=16,65535,IF(E14-32=15,65534,IF(E14-32=14,65532,IF(E14-32=13,65528,IF(E14-32=12,65520,IF(E14-32=11,65504,IF(E14-32=10,65472,IF(E14-32=9,65408,IF(E14-32=8,65280,IF(E14-32=7,65024,IF(E14-32=6,64512,IF(E14-32=5,63488,IF(E14-32=4,61440,IF(E14-32=3,57344,IF(E14-32=2,49152,IF(E14-32=1,32768,IF(E14&gt;48,65535,"0"))))))))))))))))),4))),4)&amp;":"&amp;DEC2HEX(_xlfn.BITAND(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3))+1,FIND("*",SUBSTITUTE(IF(D14="","",IFERROR(SUBSTITUTE(D14,"::",REPT(":0000",8-(IF(FIND("::",D14)&gt;0,LEN(D14)-LEN(SUBSTITUTE(D14,":","")))/LEN(":")))&amp;":"),D14)),":","*",4))-1-FIND("*",SUBSTITUTE(IF(D14="","",IFERROR(SUBSTITUTE(D14,"::",REPT(":0000",8-(IF(FIND("::",D14)&gt;0,LEN(D14)-LEN(SUBSTITUTE(D14,":","")))/LEN(":")))&amp;":"),D14)),":","*",3)))),HEX2DEC(DEC2HEX(IF(E14-48=16,65535,IF(E14-48=15,65534,IF(E14-48=14,65532,IF(E14-48=13,65528,IF(E14-48=12,65520,IF(E14-48=11,65504,IF(E14-48=10,65472,IF(E14-48=9,65408,IF(E14-48=8,65280,IF(E14-48=7,65024,IF(E14-48=6,64512,IF(E14-48=5,63488,IF(E14-48=4,61440,IF(E14-48=3,57344,IF(E14-48=2,49152,IF(E14-48=1,32768,IF(E14&gt;64,65535,"0"))))))))))))))))),4))),4)&amp;":"&amp;DEC2HEX(_xlfn.BITAND(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4))+1,FIND("*",SUBSTITUTE(IF(D14="","",IFERROR(SUBSTITUTE(D14,"::",REPT(":0000",8-(IF(FIND("::",D14)&gt;0,LEN(D14)-LEN(SUBSTITUTE(D14,":","")))/LEN(":")))&amp;":"),D14)),":","*",5))-1-FIND("*",SUBSTITUTE(IF(D14="","",IFERROR(SUBSTITUTE(D14,"::",REPT(":0000",8-(IF(FIND("::",D14)&gt;0,LEN(D14)-LEN(SUBSTITUTE(D14,":","")))/LEN(":")))&amp;":"),D14)),":","*",4)))),HEX2DEC(DEC2HEX(IF(E14-64=16,65535,IF(E14-64=15,65534,IF(E14-64=14,65532,IF(E14-64=13,65528,IF(E14-64=12,65520,IF(E14-64=11,65504,IF(E14-64=10,65472,IF(E14-64=9,65408,IF(E14-64=8,65280,IF(E14-64=7,65024,IF(E14-64=6,64512,IF(E14-64=5,63488,IF(E14-64=4,61440,IF(E14-64=3,57344,IF(E14-64=2,49152,IF(E14-64=1,32768,IF(E14&gt;80,65535,"0"))))))))))))))))),4))),4)&amp;":"&amp;DEC2HEX(_xlfn.BITAND(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5))+1,FIND("*",SUBSTITUTE(IF(D14="","",IFERROR(SUBSTITUTE(D14,"::",REPT(":0000",8-(IF(FIND("::",D14)&gt;0,LEN(D14)-LEN(SUBSTITUTE(D14,":","")))/LEN(":")))&amp;":"),D14)),":","*",6))-1-FIND("*",SUBSTITUTE(IF(D14="","",IFERROR(SUBSTITUTE(D14,"::",REPT(":0000",8-(IF(FIND("::",D14)&gt;0,LEN(D14)-LEN(SUBSTITUTE(D14,":","")))/LEN(":")))&amp;":"),D14)),":","*",5)))),HEX2DEC(DEC2HEX(IF(E14-80=16,65535,IF(E14-80=15,65534,IF(E14-80=14,65532,IF(E14-80=13,65528,IF(E14-80=12,65520,IF(E14-80=11,65504,IF(E14-80=10,65472,IF(E14-80=9,65408,IF(E14-80=8,65280,IF(E14-80=7,65024,IF(E14-80=6,64512,IF(E14-80=5,63488,IF(E14-80=4,61440,IF(E14-80=3,57344,IF(E14-80=2,49152,IF(E14-80=1,32768,IF(E14&gt;96,65535,"0"))))))))))))))))),4))),4)&amp;":"&amp;DEC2HEX(_xlfn.BITAND(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6))+1,FIND("*",SUBSTITUTE(IF(D14="","",IFERROR(SUBSTITUTE(D14,"::",REPT(":0000",8-(IF(FIND("::",D14)&gt;0,LEN(D14)-LEN(SUBSTITUTE(D14,":","")))/LEN(":")))&amp;":"),D14)),":","*",7))-1-FIND("*",SUBSTITUTE(IF(D14="","",IFERROR(SUBSTITUTE(D14,"::",REPT(":0000",8-(IF(FIND("::",D14)&gt;0,LEN(D14)-LEN(SUBSTITUTE(D14,":","")))/LEN(":")))&amp;":"),D14)),":","*",6)))),HEX2DEC(DEC2HEX(IF(E14-96=16,65535,IF(E14-96=15,65534,IF(E14-96=14,65532,IF(E14-96=13,65528,IF(E14-96=12,65520,IF(E14-96=11,65504,IF(E14-96=10,65472,IF(E14-96=9,65408,IF(E14-96=8,65280,IF(E14-96=7,65024,IF(E14-96=6,64512,IF(E14-96=5,63488,IF(E14-96=4,61440,IF(E14-96=3,57344,IF(E14-96=2,49152,IF(E14-96=1,32768,IF(E14&gt;112,65535,"0"))))))))))))))))),4))),4)&amp;":"&amp;DEC2HEX(_xlfn.BITAND(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7))+1,LEN(IF(D14="","",IFERROR(SUBSTITUTE(D14,"::",REPT(":0000",8-(IF(FIND("::",D14)&gt;0,LEN(D14)-LEN(SUBSTITUTE(D14,":","")))/LEN(":")))&amp;":"),D14)))-FIND("*",SUBSTITUTE(IF(D14="","",IFERROR(SUBSTITUTE(D14,"::",REPT(":0000",8-(IF(FIND("::",D14)&gt;0,LEN(D14)-LEN(SUBSTITUTE(D14,":","")))/LEN(":")))&amp;":"),D14)),":","*",7)))),HEX2DEC(DEC2HEX(IF(E14-112=16,65535,IF(E14-112=15,65534,IF(E14-112=14,65532,IF(E14-112=13,65528,IF(E14-112=12,65520,IF(E14-112=11,65504,IF(E14-112=10,65472,IF(E14-112=9,65408,IF(E14-112=8,65280,IF(E14-112=7,65024,IF(E14-112=6,64512,IF(E14-112=5,63488,IF(E14-112=4,61440,IF(E14-112=3,57344,IF(E14-112=2,49152,IF(E14-112=1,32768,IF(E14&gt;128,65535,"0"))))))))))))))))),4))),4),""),""),"ERROR")</f>
        <v>FE00:0000:0000:0000:0000:0000:0000:0000</v>
      </c>
      <c r="G14" s="36" t="str">
        <f t="shared" ref="G14" si="4">IFERROR(IF(D14&lt;&gt;"",IF(E14&lt;&gt;"",DEC2HEX(_xlfn.BITOR(_xlfn.BITXOR(HEX2DEC(DEC2HEX(IF(E14=16,65535,IF(E14=15,65534,IF(E14=14,65532,IF(E14=13,65528,IF(E14=12,65520,IF(E14=11,65504,IF(E14=10,65472,IF(E14=9,65408,IF(E14=8,65280,IF(E14=7,65024,IF(E14=6,64512,IF(E14=5,63488,IF(E14=4,61440,IF(E14=3,57344,IF(E14=2,49152,IF(E14=1,32768,IF(E14&gt;16,65535,"0"))))))))))))))))),4)),65535),HEX2DEC(LEFT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1))-1))),4)&amp;":"&amp;DEC2HEX(_xlfn.BITOR(_xlfn.BITXOR(HEX2DEC(DEC2HEX(IF(E14-16=16,65535,IF(E14-16=15,65534,IF(E14-16=14,65532,IF(E14-16=13,65528,IF(E14-16=12,65520,IF(E14-16=11,65504,IF(E14-16=10,65472,IF(E14-16=9,65408,IF(E14-16=8,65280,IF(E14-16=7,65024,IF(E14-16=6,64512,IF(E14-16=5,63488,IF(E14-16=4,61440,IF(E14-16=3,57344,IF(E14-16=2,49152,IF(E14-16=1,32768,IF(E14&gt;32,65535,"0"))))))))))))))))),4)),65535),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1))+1,FIND("*",SUBSTITUTE(IF(D14="","",IFERROR(SUBSTITUTE(D14,"::",REPT(":0000",8-(IF(FIND("::",D14)&gt;0,LEN(D14)-LEN(SUBSTITUTE(D14,":","")))/LEN(":")))&amp;":"),D14)),":","*",2))-1-FIND("*",SUBSTITUTE(IF(D14="","",IFERROR(SUBSTITUTE(D14,"::",REPT(":0000",8-(IF(FIND("::",D14)&gt;0,LEN(D14)-LEN(SUBSTITUTE(D14,":","")))/LEN(":")))&amp;":"),D14)),":","*",1))))),4)&amp;":"&amp;DEC2HEX(_xlfn.BITOR(_xlfn.BITXOR(HEX2DEC(DEC2HEX(IF(E14-32=16,65535,IF(E14-32=15,65534,IF(E14-32=14,65532,IF(E14-32=13,65528,IF(E14-32=12,65520,IF(E14-32=11,65504,IF(E14-32=10,65472,IF(E14-32=9,65408,IF(E14-32=8,65280,IF(E14-32=7,65024,IF(E14-32=6,64512,IF(E14-32=5,63488,IF(E14-32=4,61440,IF(E14-32=3,57344,IF(E14-32=2,49152,IF(E14-32=1,32768,IF(E14&gt;48,65535,"0"))))))))))))))))),4)),65535),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2))+1,FIND("*",SUBSTITUTE(IF(D14="","",IFERROR(SUBSTITUTE(D14,"::",REPT(":0000",8-(IF(FIND("::",D14)&gt;0,LEN(D14)-LEN(SUBSTITUTE(D14,":","")))/LEN(":")))&amp;":"),D14)),":","*",3))-1-FIND("*",SUBSTITUTE(IF(D14="","",IFERROR(SUBSTITUTE(D14,"::",REPT(":0000",8-(IF(FIND("::",D14)&gt;0,LEN(D14)-LEN(SUBSTITUTE(D14,":","")))/LEN(":")))&amp;":"),D14)),":","*",2))))),4)&amp;":"&amp;DEC2HEX(_xlfn.BITOR(_xlfn.BITXOR(HEX2DEC(DEC2HEX(IF(E14-48=16,65535,IF(E14-48=15,65534,IF(E14-48=14,65532,IF(E14-48=13,65528,IF(E14-48=12,65520,IF(E14-48=11,65504,IF(E14-48=10,65472,IF(E14-48=9,65408,IF(E14-48=8,65280,IF(E14-48=7,65024,IF(E14-48=6,64512,IF(E14-48=5,63488,IF(E14-48=4,61440,IF(E14-48=3,57344,IF(E14-48=2,49152,IF(E14-48=1,32768,IF(E14&gt;64,65535,"0"))))))))))))))))),4)),65535),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3))+1,FIND("*",SUBSTITUTE(IF(D14="","",IFERROR(SUBSTITUTE(D14,"::",REPT(":0000",8-(IF(FIND("::",D14)&gt;0,LEN(D14)-LEN(SUBSTITUTE(D14,":","")))/LEN(":")))&amp;":"),D14)),":","*",4))-1-FIND("*",SUBSTITUTE(IF(D14="","",IFERROR(SUBSTITUTE(D14,"::",REPT(":0000",8-(IF(FIND("::",D14)&gt;0,LEN(D14)-LEN(SUBSTITUTE(D14,":","")))/LEN(":")))&amp;":"),D14)),":","*",3))))),4)&amp;":"&amp;DEC2HEX(_xlfn.BITOR(_xlfn.BITXOR(HEX2DEC(DEC2HEX(IF(E14-64=16,65535,IF(E14-64=15,65534,IF(E14-64=14,65532,IF(E14-64=13,65528,IF(E14-64=12,65520,IF(E14-64=11,65504,IF(E14-64=10,65472,IF(E14-64=9,65408,IF(E14-64=8,65280,IF(E14-64=7,65024,IF(E14-64=6,64512,IF(E14-64=5,63488,IF(E14-64=4,61440,IF(E14-64=3,57344,IF(E14-64=2,49152,IF(E14-64=1,32768,IF(E14&gt;80,65535,"0"))))))))))))))))),4)),65535),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4))+1,FIND("*",SUBSTITUTE(IF(D14="","",IFERROR(SUBSTITUTE(D14,"::",REPT(":0000",8-(IF(FIND("::",D14)&gt;0,LEN(D14)-LEN(SUBSTITUTE(D14,":","")))/LEN(":")))&amp;":"),D14)),":","*",5))-1-FIND("*",SUBSTITUTE(IF(D14="","",IFERROR(SUBSTITUTE(D14,"::",REPT(":0000",8-(IF(FIND("::",D14)&gt;0,LEN(D14)-LEN(SUBSTITUTE(D14,":","")))/LEN(":")))&amp;":"),D14)),":","*",4))))),4)&amp;":"&amp;DEC2HEX(_xlfn.BITOR(_xlfn.BITXOR(HEX2DEC(DEC2HEX(IF(E14-80=16,65535,IF(E14-80=15,65534,IF(E14-80=14,65532,IF(E14-80=13,65528,IF(E14-80=12,65520,IF(E14-80=11,65504,IF(E14-80=10,65472,IF(E14-80=9,65408,IF(E14-80=8,65280,IF(E14-80=7,65024,IF(E14-80=6,64512,IF(E14-80=5,63488,IF(E14-80=4,61440,IF(E14-80=3,57344,IF(E14-80=2,49152,IF(E14-80=1,32768,IF(E14&gt;96,65535,"0"))))))))))))))))),4)),65535),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5))+1,FIND("*",SUBSTITUTE(IF(D14="","",IFERROR(SUBSTITUTE(D14,"::",REPT(":0000",8-(IF(FIND("::",D14)&gt;0,LEN(D14)-LEN(SUBSTITUTE(D14,":","")))/LEN(":")))&amp;":"),D14)),":","*",6))-1-FIND("*",SUBSTITUTE(IF(D14="","",IFERROR(SUBSTITUTE(D14,"::",REPT(":0000",8-(IF(FIND("::",D14)&gt;0,LEN(D14)-LEN(SUBSTITUTE(D14,":","")))/LEN(":")))&amp;":"),D14)),":","*",5))))),4)&amp;":"&amp;DEC2HEX(_xlfn.BITOR(_xlfn.BITXOR(HEX2DEC(DEC2HEX(IF(E14-96=16,65535,IF(E14-96=15,65534,IF(E14-96=14,65532,IF(E14-96=13,65528,IF(E14-96=12,65520,IF(E14-96=11,65504,IF(E14-96=10,65472,IF(E14-96=9,65408,IF(E14-96=8,65280,IF(E14-96=7,65024,IF(E14-96=6,64512,IF(E14-96=5,63488,IF(E14-96=4,61440,IF(E14-96=3,57344,IF(E14-96=2,49152,IF(E14-96=1,32768,IF(E14&gt;112,65535,"0"))))))))))))))))),4)),65535),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6))+1,FIND("*",SUBSTITUTE(IF(D14="","",IFERROR(SUBSTITUTE(D14,"::",REPT(":0000",8-(IF(FIND("::",D14)&gt;0,LEN(D14)-LEN(SUBSTITUTE(D14,":","")))/LEN(":")))&amp;":"),D14)),":","*",7))-1-FIND("*",SUBSTITUTE(IF(D14="","",IFERROR(SUBSTITUTE(D14,"::",REPT(":0000",8-(IF(FIND("::",D14)&gt;0,LEN(D14)-LEN(SUBSTITUTE(D14,":","")))/LEN(":")))&amp;":"),D14)),":","*",6))))),4)&amp;":"&amp;DEC2HEX(_xlfn.BITOR(_xlfn.BITXOR(HEX2DEC(DEC2HEX(IF(E14-112=16,65535,IF(E14-112=15,65534,IF(E14-112=14,65532,IF(E14-112=13,65528,IF(E14-112=12,65520,IF(E14-112=11,65504,IF(E14-112=10,65472,IF(E14-112=9,65408,IF(E14-112=8,65280,IF(E14-112=7,65024,IF(E14-112=6,64512,IF(E14-112=5,63488,IF(E14-112=4,61440,IF(E14-112=3,57344,IF(E14-112=2,49152,IF(E14-112=1,32768,IF(E14&gt;128,65535,"0"))))))))))))))))),4)),65535),HEX2DEC(MID(IF(D14="","",IFERROR(SUBSTITUTE(D14,"::",REPT(":0000",8-(IF(FIND("::",D14)&gt;0,LEN(D14)-LEN(SUBSTITUTE(D14,":","")))/LEN(":")))&amp;":"),D14)),FIND("*",SUBSTITUTE(IF(D14="","",IFERROR(SUBSTITUTE(D14,"::",REPT(":0000",8-(IF(FIND("::",D14)&gt;0,LEN(D14)-LEN(SUBSTITUTE(D14,":","")))/LEN(":")))&amp;":"),D14)),":","*",7))+1,LEN(IF(D14="","",IFERROR(SUBSTITUTE(D14,"::",REPT(":0000",8-(IF(FIND("::",D14)&gt;0,LEN(D14)-LEN(SUBSTITUTE(D14,":","")))/LEN(":")))&amp;":"),D14)))-FIND("*",SUBSTITUTE(IF(D14="","",IFERROR(SUBSTITUTE(D14,"::",REPT(":0000",8-(IF(FIND("::",D14)&gt;0,LEN(D14)-LEN(SUBSTITUTE(D14,":","")))/LEN(":")))&amp;":"),D14)),":","*",7))))),4),""),""),"ERROR")</f>
        <v>FE00:0000:0000:0000:7FFF:FFFF:FFFF:FFFF</v>
      </c>
      <c r="H14" s="4">
        <f t="shared" ref="H14" si="5">IFERROR(IF(E14&lt;&gt;"",2^(128-E14)/2^64,""),"ERROR")</f>
        <v>0.5</v>
      </c>
      <c r="I14" s="23"/>
    </row>
    <row r="15" spans="1:10" x14ac:dyDescent="0.15">
      <c r="A15" s="9"/>
      <c r="B15" s="9"/>
      <c r="C15" s="19"/>
      <c r="D15" s="19" t="s">
        <v>44</v>
      </c>
      <c r="E15" s="22">
        <v>127</v>
      </c>
      <c r="F15" s="16" t="str">
        <f t="shared" si="3"/>
        <v>FE20:9888:1111:1111:0000:0000:0000:1110</v>
      </c>
      <c r="G15" s="16" t="str">
        <f t="shared" ref="G15:G25" si="6">IFERROR(IF(D15&lt;&gt;"",IF(E15&lt;&gt;"",DEC2HEX(_xlfn.BITOR(_xlfn.BITXOR(HEX2DEC(DEC2HEX(IF(E15=16,65535,IF(E15=15,65534,IF(E15=14,65532,IF(E15=13,65528,IF(E15=12,65520,IF(E15=11,65504,IF(E15=10,65472,IF(E15=9,65408,IF(E15=8,65280,IF(E15=7,65024,IF(E15=6,64512,IF(E15=5,63488,IF(E15=4,61440,IF(E15=3,57344,IF(E15=2,49152,IF(E15=1,32768,IF(E15&gt;16,65535,"0"))))))))))))))))),4)),65535),HEX2DEC(LEFT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1))-1))),4)&amp;":"&amp;DEC2HEX(_xlfn.BITOR(_xlfn.BITXOR(HEX2DEC(DEC2HEX(IF(E15-16=16,65535,IF(E15-16=15,65534,IF(E15-16=14,65532,IF(E15-16=13,65528,IF(E15-16=12,65520,IF(E15-16=11,65504,IF(E15-16=10,65472,IF(E15-16=9,65408,IF(E15-16=8,65280,IF(E15-16=7,65024,IF(E15-16=6,64512,IF(E15-16=5,63488,IF(E15-16=4,61440,IF(E15-16=3,57344,IF(E15-16=2,49152,IF(E15-16=1,32768,IF(E15&gt;32,65535,"0"))))))))))))))))),4)),65535),HEX2DEC(MID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1))+1,FIND("*",SUBSTITUTE(IF(D15="","",IFERROR(SUBSTITUTE(D15,"::",REPT(":0000",8-(IF(FIND("::",D15)&gt;0,LEN(D15)-LEN(SUBSTITUTE(D15,":","")))/LEN(":")))&amp;":"),D15)),":","*",2))-1-FIND("*",SUBSTITUTE(IF(D15="","",IFERROR(SUBSTITUTE(D15,"::",REPT(":0000",8-(IF(FIND("::",D15)&gt;0,LEN(D15)-LEN(SUBSTITUTE(D15,":","")))/LEN(":")))&amp;":"),D15)),":","*",1))))),4)&amp;":"&amp;DEC2HEX(_xlfn.BITOR(_xlfn.BITXOR(HEX2DEC(DEC2HEX(IF(E15-32=16,65535,IF(E15-32=15,65534,IF(E15-32=14,65532,IF(E15-32=13,65528,IF(E15-32=12,65520,IF(E15-32=11,65504,IF(E15-32=10,65472,IF(E15-32=9,65408,IF(E15-32=8,65280,IF(E15-32=7,65024,IF(E15-32=6,64512,IF(E15-32=5,63488,IF(E15-32=4,61440,IF(E15-32=3,57344,IF(E15-32=2,49152,IF(E15-32=1,32768,IF(E15&gt;48,65535,"0"))))))))))))))))),4)),65535),HEX2DEC(MID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2))+1,FIND("*",SUBSTITUTE(IF(D15="","",IFERROR(SUBSTITUTE(D15,"::",REPT(":0000",8-(IF(FIND("::",D15)&gt;0,LEN(D15)-LEN(SUBSTITUTE(D15,":","")))/LEN(":")))&amp;":"),D15)),":","*",3))-1-FIND("*",SUBSTITUTE(IF(D15="","",IFERROR(SUBSTITUTE(D15,"::",REPT(":0000",8-(IF(FIND("::",D15)&gt;0,LEN(D15)-LEN(SUBSTITUTE(D15,":","")))/LEN(":")))&amp;":"),D15)),":","*",2))))),4)&amp;":"&amp;DEC2HEX(_xlfn.BITOR(_xlfn.BITXOR(HEX2DEC(DEC2HEX(IF(E15-48=16,65535,IF(E15-48=15,65534,IF(E15-48=14,65532,IF(E15-48=13,65528,IF(E15-48=12,65520,IF(E15-48=11,65504,IF(E15-48=10,65472,IF(E15-48=9,65408,IF(E15-48=8,65280,IF(E15-48=7,65024,IF(E15-48=6,64512,IF(E15-48=5,63488,IF(E15-48=4,61440,IF(E15-48=3,57344,IF(E15-48=2,49152,IF(E15-48=1,32768,IF(E15&gt;64,65535,"0"))))))))))))))))),4)),65535),HEX2DEC(MID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3))+1,FIND("*",SUBSTITUTE(IF(D15="","",IFERROR(SUBSTITUTE(D15,"::",REPT(":0000",8-(IF(FIND("::",D15)&gt;0,LEN(D15)-LEN(SUBSTITUTE(D15,":","")))/LEN(":")))&amp;":"),D15)),":","*",4))-1-FIND("*",SUBSTITUTE(IF(D15="","",IFERROR(SUBSTITUTE(D15,"::",REPT(":0000",8-(IF(FIND("::",D15)&gt;0,LEN(D15)-LEN(SUBSTITUTE(D15,":","")))/LEN(":")))&amp;":"),D15)),":","*",3))))),4)&amp;":"&amp;DEC2HEX(_xlfn.BITOR(_xlfn.BITXOR(HEX2DEC(DEC2HEX(IF(E15-64=16,65535,IF(E15-64=15,65534,IF(E15-64=14,65532,IF(E15-64=13,65528,IF(E15-64=12,65520,IF(E15-64=11,65504,IF(E15-64=10,65472,IF(E15-64=9,65408,IF(E15-64=8,65280,IF(E15-64=7,65024,IF(E15-64=6,64512,IF(E15-64=5,63488,IF(E15-64=4,61440,IF(E15-64=3,57344,IF(E15-64=2,49152,IF(E15-64=1,32768,IF(E15&gt;80,65535,"0"))))))))))))))))),4)),65535),HEX2DEC(MID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4))+1,FIND("*",SUBSTITUTE(IF(D15="","",IFERROR(SUBSTITUTE(D15,"::",REPT(":0000",8-(IF(FIND("::",D15)&gt;0,LEN(D15)-LEN(SUBSTITUTE(D15,":","")))/LEN(":")))&amp;":"),D15)),":","*",5))-1-FIND("*",SUBSTITUTE(IF(D15="","",IFERROR(SUBSTITUTE(D15,"::",REPT(":0000",8-(IF(FIND("::",D15)&gt;0,LEN(D15)-LEN(SUBSTITUTE(D15,":","")))/LEN(":")))&amp;":"),D15)),":","*",4))))),4)&amp;":"&amp;DEC2HEX(_xlfn.BITOR(_xlfn.BITXOR(HEX2DEC(DEC2HEX(IF(E15-80=16,65535,IF(E15-80=15,65534,IF(E15-80=14,65532,IF(E15-80=13,65528,IF(E15-80=12,65520,IF(E15-80=11,65504,IF(E15-80=10,65472,IF(E15-80=9,65408,IF(E15-80=8,65280,IF(E15-80=7,65024,IF(E15-80=6,64512,IF(E15-80=5,63488,IF(E15-80=4,61440,IF(E15-80=3,57344,IF(E15-80=2,49152,IF(E15-80=1,32768,IF(E15&gt;96,65535,"0"))))))))))))))))),4)),65535),HEX2DEC(MID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5))+1,FIND("*",SUBSTITUTE(IF(D15="","",IFERROR(SUBSTITUTE(D15,"::",REPT(":0000",8-(IF(FIND("::",D15)&gt;0,LEN(D15)-LEN(SUBSTITUTE(D15,":","")))/LEN(":")))&amp;":"),D15)),":","*",6))-1-FIND("*",SUBSTITUTE(IF(D15="","",IFERROR(SUBSTITUTE(D15,"::",REPT(":0000",8-(IF(FIND("::",D15)&gt;0,LEN(D15)-LEN(SUBSTITUTE(D15,":","")))/LEN(":")))&amp;":"),D15)),":","*",5))))),4)&amp;":"&amp;DEC2HEX(_xlfn.BITOR(_xlfn.BITXOR(HEX2DEC(DEC2HEX(IF(E15-96=16,65535,IF(E15-96=15,65534,IF(E15-96=14,65532,IF(E15-96=13,65528,IF(E15-96=12,65520,IF(E15-96=11,65504,IF(E15-96=10,65472,IF(E15-96=9,65408,IF(E15-96=8,65280,IF(E15-96=7,65024,IF(E15-96=6,64512,IF(E15-96=5,63488,IF(E15-96=4,61440,IF(E15-96=3,57344,IF(E15-96=2,49152,IF(E15-96=1,32768,IF(E15&gt;112,65535,"0"))))))))))))))))),4)),65535),HEX2DEC(MID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6))+1,FIND("*",SUBSTITUTE(IF(D15="","",IFERROR(SUBSTITUTE(D15,"::",REPT(":0000",8-(IF(FIND("::",D15)&gt;0,LEN(D15)-LEN(SUBSTITUTE(D15,":","")))/LEN(":")))&amp;":"),D15)),":","*",7))-1-FIND("*",SUBSTITUTE(IF(D15="","",IFERROR(SUBSTITUTE(D15,"::",REPT(":0000",8-(IF(FIND("::",D15)&gt;0,LEN(D15)-LEN(SUBSTITUTE(D15,":","")))/LEN(":")))&amp;":"),D15)),":","*",6))))),4)&amp;":"&amp;DEC2HEX(_xlfn.BITOR(_xlfn.BITXOR(HEX2DEC(DEC2HEX(IF(E15-112=16,65535,IF(E15-112=15,65534,IF(E15-112=14,65532,IF(E15-112=13,65528,IF(E15-112=12,65520,IF(E15-112=11,65504,IF(E15-112=10,65472,IF(E15-112=9,65408,IF(E15-112=8,65280,IF(E15-112=7,65024,IF(E15-112=6,64512,IF(E15-112=5,63488,IF(E15-112=4,61440,IF(E15-112=3,57344,IF(E15-112=2,49152,IF(E15-112=1,32768,IF(E15&gt;128,65535,"0"))))))))))))))))),4)),65535),HEX2DEC(MID(IF(D15="","",IFERROR(SUBSTITUTE(D15,"::",REPT(":0000",8-(IF(FIND("::",D15)&gt;0,LEN(D15)-LEN(SUBSTITUTE(D15,":","")))/LEN(":")))&amp;":"),D15)),FIND("*",SUBSTITUTE(IF(D15="","",IFERROR(SUBSTITUTE(D15,"::",REPT(":0000",8-(IF(FIND("::",D15)&gt;0,LEN(D15)-LEN(SUBSTITUTE(D15,":","")))/LEN(":")))&amp;":"),D15)),":","*",7))+1,LEN(IF(D15="","",IFERROR(SUBSTITUTE(D15,"::",REPT(":0000",8-(IF(FIND("::",D15)&gt;0,LEN(D15)-LEN(SUBSTITUTE(D15,":","")))/LEN(":")))&amp;":"),D15)))-FIND("*",SUBSTITUTE(IF(D15="","",IFERROR(SUBSTITUTE(D15,"::",REPT(":0000",8-(IF(FIND("::",D15)&gt;0,LEN(D15)-LEN(SUBSTITUTE(D15,":","")))/LEN(":")))&amp;":"),D15)),":","*",7))))),4),""),""),"ERROR")</f>
        <v>FE20:9888:1111:1111:0000:0000:0000:1111</v>
      </c>
      <c r="H15" s="13">
        <f t="shared" ref="H15:H25" si="7">IFERROR(IF(E15&lt;&gt;"",2^(128-E15)/2^64,""),"ERROR")</f>
        <v>1.0842021724855044E-19</v>
      </c>
      <c r="I15" s="19"/>
    </row>
    <row r="16" spans="1:10" x14ac:dyDescent="0.15">
      <c r="A16" s="9"/>
      <c r="B16" s="9"/>
      <c r="C16" s="19"/>
      <c r="D16" s="19" t="s">
        <v>45</v>
      </c>
      <c r="E16" s="22" t="s">
        <v>45</v>
      </c>
      <c r="F16" s="16" t="str">
        <f t="shared" si="3"/>
        <v>ERROR</v>
      </c>
      <c r="G16" s="16" t="str">
        <f t="shared" si="6"/>
        <v>ERROR</v>
      </c>
      <c r="H16" s="13" t="str">
        <f t="shared" si="7"/>
        <v>ERROR</v>
      </c>
      <c r="I16" s="19"/>
    </row>
    <row r="17" spans="1:9" x14ac:dyDescent="0.15">
      <c r="A17" s="8"/>
      <c r="B17" s="8"/>
      <c r="C17" s="19"/>
      <c r="D17" s="19"/>
      <c r="E17" s="22"/>
      <c r="F17" s="16" t="str">
        <f t="shared" si="3"/>
        <v/>
      </c>
      <c r="G17" s="16" t="str">
        <f t="shared" si="6"/>
        <v/>
      </c>
      <c r="H17" s="13" t="str">
        <f t="shared" si="7"/>
        <v/>
      </c>
      <c r="I17" s="19"/>
    </row>
    <row r="18" spans="1:9" x14ac:dyDescent="0.15">
      <c r="A18" s="9"/>
      <c r="B18" s="9"/>
      <c r="C18" s="19"/>
      <c r="D18" s="19"/>
      <c r="E18" s="22"/>
      <c r="F18" s="16" t="str">
        <f t="shared" si="3"/>
        <v/>
      </c>
      <c r="G18" s="16" t="str">
        <f t="shared" si="6"/>
        <v/>
      </c>
      <c r="H18" s="13" t="str">
        <f t="shared" si="7"/>
        <v/>
      </c>
      <c r="I18" s="19"/>
    </row>
    <row r="19" spans="1:9" x14ac:dyDescent="0.15">
      <c r="A19" s="9"/>
      <c r="B19" s="9"/>
      <c r="C19" s="19"/>
      <c r="D19" s="19"/>
      <c r="E19" s="22"/>
      <c r="F19" s="16" t="str">
        <f t="shared" si="3"/>
        <v/>
      </c>
      <c r="G19" s="16" t="str">
        <f t="shared" si="6"/>
        <v/>
      </c>
      <c r="H19" s="13" t="str">
        <f t="shared" si="7"/>
        <v/>
      </c>
      <c r="I19" s="19"/>
    </row>
    <row r="20" spans="1:9" x14ac:dyDescent="0.15">
      <c r="A20" s="9"/>
      <c r="B20" s="9"/>
      <c r="C20" s="19"/>
      <c r="D20" s="19"/>
      <c r="E20" s="22"/>
      <c r="F20" s="16" t="str">
        <f t="shared" si="3"/>
        <v/>
      </c>
      <c r="G20" s="16" t="str">
        <f t="shared" si="6"/>
        <v/>
      </c>
      <c r="H20" s="13" t="str">
        <f t="shared" si="7"/>
        <v/>
      </c>
      <c r="I20" s="19"/>
    </row>
    <row r="21" spans="1:9" x14ac:dyDescent="0.15">
      <c r="A21" s="8"/>
      <c r="B21" s="8"/>
      <c r="C21" s="19"/>
      <c r="D21" s="19"/>
      <c r="E21" s="22"/>
      <c r="F21" s="16" t="str">
        <f t="shared" si="3"/>
        <v/>
      </c>
      <c r="G21" s="16" t="str">
        <f t="shared" si="6"/>
        <v/>
      </c>
      <c r="H21" s="13" t="str">
        <f t="shared" si="7"/>
        <v/>
      </c>
      <c r="I21" s="19"/>
    </row>
    <row r="22" spans="1:9" x14ac:dyDescent="0.15">
      <c r="A22" s="9"/>
      <c r="B22" s="9"/>
      <c r="C22" s="19"/>
      <c r="D22" s="19"/>
      <c r="E22" s="22"/>
      <c r="F22" s="16" t="str">
        <f t="shared" si="3"/>
        <v/>
      </c>
      <c r="G22" s="16" t="str">
        <f t="shared" si="6"/>
        <v/>
      </c>
      <c r="H22" s="13" t="str">
        <f t="shared" si="7"/>
        <v/>
      </c>
      <c r="I22" s="19"/>
    </row>
    <row r="23" spans="1:9" x14ac:dyDescent="0.15">
      <c r="A23" s="8"/>
      <c r="B23" s="8"/>
      <c r="C23" s="19"/>
      <c r="D23" s="19"/>
      <c r="E23" s="22"/>
      <c r="F23" s="16" t="str">
        <f t="shared" si="3"/>
        <v/>
      </c>
      <c r="G23" s="16" t="str">
        <f t="shared" si="6"/>
        <v/>
      </c>
      <c r="H23" s="13" t="str">
        <f t="shared" si="7"/>
        <v/>
      </c>
      <c r="I23" s="19"/>
    </row>
    <row r="24" spans="1:9" x14ac:dyDescent="0.15">
      <c r="A24" s="9"/>
      <c r="B24" s="9"/>
      <c r="C24" s="19"/>
      <c r="D24" s="19"/>
      <c r="E24" s="22"/>
      <c r="F24" s="16" t="str">
        <f t="shared" si="3"/>
        <v/>
      </c>
      <c r="G24" s="16" t="str">
        <f t="shared" si="6"/>
        <v/>
      </c>
      <c r="H24" s="13" t="str">
        <f t="shared" si="7"/>
        <v/>
      </c>
      <c r="I24" s="19"/>
    </row>
    <row r="25" spans="1:9" x14ac:dyDescent="0.15">
      <c r="A25" s="9"/>
      <c r="B25" s="9"/>
      <c r="C25" s="19"/>
      <c r="D25" s="19"/>
      <c r="E25" s="22"/>
      <c r="F25" s="16" t="str">
        <f t="shared" si="3"/>
        <v/>
      </c>
      <c r="G25" s="16" t="str">
        <f t="shared" si="6"/>
        <v/>
      </c>
      <c r="H25" s="13" t="str">
        <f t="shared" si="7"/>
        <v/>
      </c>
      <c r="I25" s="19"/>
    </row>
    <row r="26" spans="1:9" x14ac:dyDescent="0.15">
      <c r="A26" s="9"/>
      <c r="B26" s="9"/>
      <c r="C26" s="19"/>
      <c r="D26" s="19"/>
      <c r="E26" s="22"/>
      <c r="F26" s="16" t="str">
        <f t="shared" ref="F26:F36" si="8">IFERROR(IF(D26&lt;&gt;"",IF(E26&lt;&gt;"",DEC2HEX(_xlfn.BITAND(HEX2DEC(LEFT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1))-1)),HEX2DEC(DEC2HEX(IF(E26=16,65535,IF(E26=15,65534,IF(E26=14,65532,IF(E26=13,65528,IF(E26=12,65520,IF(E26=11,65504,IF(E26=10,65472,IF(E26=9,65408,IF(E26=8,65280,IF(E26=7,65024,IF(E26=6,64512,IF(E26=5,63488,IF(E26=4,61440,IF(E26=3,57344,IF(E26=2,49152,IF(E26=1,32768,IF(E26&gt;16,65535,"0"))))))))))))))))),4))),4)&amp;":"&amp;DEC2HEX(_xlfn.BITAND(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1))+1,FIND("*",SUBSTITUTE(IF(D26="","",IFERROR(SUBSTITUTE(D26,"::",REPT(":0000",8-(IF(FIND("::",D26)&gt;0,LEN(D26)-LEN(SUBSTITUTE(D26,":","")))/LEN(":")))&amp;":"),D26)),":","*",2))-1-FIND("*",SUBSTITUTE(IF(D26="","",IFERROR(SUBSTITUTE(D26,"::",REPT(":0000",8-(IF(FIND("::",D26)&gt;0,LEN(D26)-LEN(SUBSTITUTE(D26,":","")))/LEN(":")))&amp;":"),D26)),":","*",1)))),HEX2DEC(DEC2HEX(IF(E26-16=16,65535,IF(E26-16=15,65534,IF(E26-16=14,65532,IF(E26-16=13,65528,IF(E26-16=12,65520,IF(E26-16=11,65504,IF(E26-16=10,65472,IF(E26-16=9,65408,IF(E26-16=8,65280,IF(E26-16=7,65024,IF(E26-16=6,64512,IF(E26-16=5,63488,IF(E26-16=4,61440,IF(E26-16=3,57344,IF(E26-16=2,49152,IF(E26-16=1,32768,IF(E26&gt;32,65535,"0"))))))))))))))))),4))),4)&amp;":"&amp;DEC2HEX(_xlfn.BITAND(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2))+1,FIND("*",SUBSTITUTE(IF(D26="","",IFERROR(SUBSTITUTE(D26,"::",REPT(":0000",8-(IF(FIND("::",D26)&gt;0,LEN(D26)-LEN(SUBSTITUTE(D26,":","")))/LEN(":")))&amp;":"),D26)),":","*",3))-1-FIND("*",SUBSTITUTE(IF(D26="","",IFERROR(SUBSTITUTE(D26,"::",REPT(":0000",8-(IF(FIND("::",D26)&gt;0,LEN(D26)-LEN(SUBSTITUTE(D26,":","")))/LEN(":")))&amp;":"),D26)),":","*",2)))),HEX2DEC(DEC2HEX(IF(E26-32=16,65535,IF(E26-32=15,65534,IF(E26-32=14,65532,IF(E26-32=13,65528,IF(E26-32=12,65520,IF(E26-32=11,65504,IF(E26-32=10,65472,IF(E26-32=9,65408,IF(E26-32=8,65280,IF(E26-32=7,65024,IF(E26-32=6,64512,IF(E26-32=5,63488,IF(E26-32=4,61440,IF(E26-32=3,57344,IF(E26-32=2,49152,IF(E26-32=1,32768,IF(E26&gt;48,65535,"0"))))))))))))))))),4))),4)&amp;":"&amp;DEC2HEX(_xlfn.BITAND(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3))+1,FIND("*",SUBSTITUTE(IF(D26="","",IFERROR(SUBSTITUTE(D26,"::",REPT(":0000",8-(IF(FIND("::",D26)&gt;0,LEN(D26)-LEN(SUBSTITUTE(D26,":","")))/LEN(":")))&amp;":"),D26)),":","*",4))-1-FIND("*",SUBSTITUTE(IF(D26="","",IFERROR(SUBSTITUTE(D26,"::",REPT(":0000",8-(IF(FIND("::",D26)&gt;0,LEN(D26)-LEN(SUBSTITUTE(D26,":","")))/LEN(":")))&amp;":"),D26)),":","*",3)))),HEX2DEC(DEC2HEX(IF(E26-48=16,65535,IF(E26-48=15,65534,IF(E26-48=14,65532,IF(E26-48=13,65528,IF(E26-48=12,65520,IF(E26-48=11,65504,IF(E26-48=10,65472,IF(E26-48=9,65408,IF(E26-48=8,65280,IF(E26-48=7,65024,IF(E26-48=6,64512,IF(E26-48=5,63488,IF(E26-48=4,61440,IF(E26-48=3,57344,IF(E26-48=2,49152,IF(E26-48=1,32768,IF(E26&gt;64,65535,"0"))))))))))))))))),4))),4)&amp;":"&amp;DEC2HEX(_xlfn.BITAND(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4))+1,FIND("*",SUBSTITUTE(IF(D26="","",IFERROR(SUBSTITUTE(D26,"::",REPT(":0000",8-(IF(FIND("::",D26)&gt;0,LEN(D26)-LEN(SUBSTITUTE(D26,":","")))/LEN(":")))&amp;":"),D26)),":","*",5))-1-FIND("*",SUBSTITUTE(IF(D26="","",IFERROR(SUBSTITUTE(D26,"::",REPT(":0000",8-(IF(FIND("::",D26)&gt;0,LEN(D26)-LEN(SUBSTITUTE(D26,":","")))/LEN(":")))&amp;":"),D26)),":","*",4)))),HEX2DEC(DEC2HEX(IF(E26-64=16,65535,IF(E26-64=15,65534,IF(E26-64=14,65532,IF(E26-64=13,65528,IF(E26-64=12,65520,IF(E26-64=11,65504,IF(E26-64=10,65472,IF(E26-64=9,65408,IF(E26-64=8,65280,IF(E26-64=7,65024,IF(E26-64=6,64512,IF(E26-64=5,63488,IF(E26-64=4,61440,IF(E26-64=3,57344,IF(E26-64=2,49152,IF(E26-64=1,32768,IF(E26&gt;80,65535,"0"))))))))))))))))),4))),4)&amp;":"&amp;DEC2HEX(_xlfn.BITAND(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5))+1,FIND("*",SUBSTITUTE(IF(D26="","",IFERROR(SUBSTITUTE(D26,"::",REPT(":0000",8-(IF(FIND("::",D26)&gt;0,LEN(D26)-LEN(SUBSTITUTE(D26,":","")))/LEN(":")))&amp;":"),D26)),":","*",6))-1-FIND("*",SUBSTITUTE(IF(D26="","",IFERROR(SUBSTITUTE(D26,"::",REPT(":0000",8-(IF(FIND("::",D26)&gt;0,LEN(D26)-LEN(SUBSTITUTE(D26,":","")))/LEN(":")))&amp;":"),D26)),":","*",5)))),HEX2DEC(DEC2HEX(IF(E26-80=16,65535,IF(E26-80=15,65534,IF(E26-80=14,65532,IF(E26-80=13,65528,IF(E26-80=12,65520,IF(E26-80=11,65504,IF(E26-80=10,65472,IF(E26-80=9,65408,IF(E26-80=8,65280,IF(E26-80=7,65024,IF(E26-80=6,64512,IF(E26-80=5,63488,IF(E26-80=4,61440,IF(E26-80=3,57344,IF(E26-80=2,49152,IF(E26-80=1,32768,IF(E26&gt;96,65535,"0"))))))))))))))))),4))),4)&amp;":"&amp;DEC2HEX(_xlfn.BITAND(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6))+1,FIND("*",SUBSTITUTE(IF(D26="","",IFERROR(SUBSTITUTE(D26,"::",REPT(":0000",8-(IF(FIND("::",D26)&gt;0,LEN(D26)-LEN(SUBSTITUTE(D26,":","")))/LEN(":")))&amp;":"),D26)),":","*",7))-1-FIND("*",SUBSTITUTE(IF(D26="","",IFERROR(SUBSTITUTE(D26,"::",REPT(":0000",8-(IF(FIND("::",D26)&gt;0,LEN(D26)-LEN(SUBSTITUTE(D26,":","")))/LEN(":")))&amp;":"),D26)),":","*",6)))),HEX2DEC(DEC2HEX(IF(E26-96=16,65535,IF(E26-96=15,65534,IF(E26-96=14,65532,IF(E26-96=13,65528,IF(E26-96=12,65520,IF(E26-96=11,65504,IF(E26-96=10,65472,IF(E26-96=9,65408,IF(E26-96=8,65280,IF(E26-96=7,65024,IF(E26-96=6,64512,IF(E26-96=5,63488,IF(E26-96=4,61440,IF(E26-96=3,57344,IF(E26-96=2,49152,IF(E26-96=1,32768,IF(E26&gt;112,65535,"0"))))))))))))))))),4))),4)&amp;":"&amp;DEC2HEX(_xlfn.BITAND(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7))+1,LEN(IF(D26="","",IFERROR(SUBSTITUTE(D26,"::",REPT(":0000",8-(IF(FIND("::",D26)&gt;0,LEN(D26)-LEN(SUBSTITUTE(D26,":","")))/LEN(":")))&amp;":"),D26)))-FIND("*",SUBSTITUTE(IF(D26="","",IFERROR(SUBSTITUTE(D26,"::",REPT(":0000",8-(IF(FIND("::",D26)&gt;0,LEN(D26)-LEN(SUBSTITUTE(D26,":","")))/LEN(":")))&amp;":"),D26)),":","*",7)))),HEX2DEC(DEC2HEX(IF(E26-112=16,65535,IF(E26-112=15,65534,IF(E26-112=14,65532,IF(E26-112=13,65528,IF(E26-112=12,65520,IF(E26-112=11,65504,IF(E26-112=10,65472,IF(E26-112=9,65408,IF(E26-112=8,65280,IF(E26-112=7,65024,IF(E26-112=6,64512,IF(E26-112=5,63488,IF(E26-112=4,61440,IF(E26-112=3,57344,IF(E26-112=2,49152,IF(E26-112=1,32768,IF(E26&gt;128,65535,"0"))))))))))))))))),4))),4),""),""),"ERROR")</f>
        <v/>
      </c>
      <c r="G26" s="16" t="str">
        <f t="shared" ref="G26:G36" si="9">IFERROR(IF(D26&lt;&gt;"",IF(E26&lt;&gt;"",DEC2HEX(_xlfn.BITOR(_xlfn.BITXOR(HEX2DEC(DEC2HEX(IF(E26=16,65535,IF(E26=15,65534,IF(E26=14,65532,IF(E26=13,65528,IF(E26=12,65520,IF(E26=11,65504,IF(E26=10,65472,IF(E26=9,65408,IF(E26=8,65280,IF(E26=7,65024,IF(E26=6,64512,IF(E26=5,63488,IF(E26=4,61440,IF(E26=3,57344,IF(E26=2,49152,IF(E26=1,32768,IF(E26&gt;16,65535,"0"))))))))))))))))),4)),65535),HEX2DEC(LEFT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1))-1))),4)&amp;":"&amp;DEC2HEX(_xlfn.BITOR(_xlfn.BITXOR(HEX2DEC(DEC2HEX(IF(E26-16=16,65535,IF(E26-16=15,65534,IF(E26-16=14,65532,IF(E26-16=13,65528,IF(E26-16=12,65520,IF(E26-16=11,65504,IF(E26-16=10,65472,IF(E26-16=9,65408,IF(E26-16=8,65280,IF(E26-16=7,65024,IF(E26-16=6,64512,IF(E26-16=5,63488,IF(E26-16=4,61440,IF(E26-16=3,57344,IF(E26-16=2,49152,IF(E26-16=1,32768,IF(E26&gt;32,65535,"0"))))))))))))))))),4)),65535),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1))+1,FIND("*",SUBSTITUTE(IF(D26="","",IFERROR(SUBSTITUTE(D26,"::",REPT(":0000",8-(IF(FIND("::",D26)&gt;0,LEN(D26)-LEN(SUBSTITUTE(D26,":","")))/LEN(":")))&amp;":"),D26)),":","*",2))-1-FIND("*",SUBSTITUTE(IF(D26="","",IFERROR(SUBSTITUTE(D26,"::",REPT(":0000",8-(IF(FIND("::",D26)&gt;0,LEN(D26)-LEN(SUBSTITUTE(D26,":","")))/LEN(":")))&amp;":"),D26)),":","*",1))))),4)&amp;":"&amp;DEC2HEX(_xlfn.BITOR(_xlfn.BITXOR(HEX2DEC(DEC2HEX(IF(E26-32=16,65535,IF(E26-32=15,65534,IF(E26-32=14,65532,IF(E26-32=13,65528,IF(E26-32=12,65520,IF(E26-32=11,65504,IF(E26-32=10,65472,IF(E26-32=9,65408,IF(E26-32=8,65280,IF(E26-32=7,65024,IF(E26-32=6,64512,IF(E26-32=5,63488,IF(E26-32=4,61440,IF(E26-32=3,57344,IF(E26-32=2,49152,IF(E26-32=1,32768,IF(E26&gt;48,65535,"0"))))))))))))))))),4)),65535),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2))+1,FIND("*",SUBSTITUTE(IF(D26="","",IFERROR(SUBSTITUTE(D26,"::",REPT(":0000",8-(IF(FIND("::",D26)&gt;0,LEN(D26)-LEN(SUBSTITUTE(D26,":","")))/LEN(":")))&amp;":"),D26)),":","*",3))-1-FIND("*",SUBSTITUTE(IF(D26="","",IFERROR(SUBSTITUTE(D26,"::",REPT(":0000",8-(IF(FIND("::",D26)&gt;0,LEN(D26)-LEN(SUBSTITUTE(D26,":","")))/LEN(":")))&amp;":"),D26)),":","*",2))))),4)&amp;":"&amp;DEC2HEX(_xlfn.BITOR(_xlfn.BITXOR(HEX2DEC(DEC2HEX(IF(E26-48=16,65535,IF(E26-48=15,65534,IF(E26-48=14,65532,IF(E26-48=13,65528,IF(E26-48=12,65520,IF(E26-48=11,65504,IF(E26-48=10,65472,IF(E26-48=9,65408,IF(E26-48=8,65280,IF(E26-48=7,65024,IF(E26-48=6,64512,IF(E26-48=5,63488,IF(E26-48=4,61440,IF(E26-48=3,57344,IF(E26-48=2,49152,IF(E26-48=1,32768,IF(E26&gt;64,65535,"0"))))))))))))))))),4)),65535),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3))+1,FIND("*",SUBSTITUTE(IF(D26="","",IFERROR(SUBSTITUTE(D26,"::",REPT(":0000",8-(IF(FIND("::",D26)&gt;0,LEN(D26)-LEN(SUBSTITUTE(D26,":","")))/LEN(":")))&amp;":"),D26)),":","*",4))-1-FIND("*",SUBSTITUTE(IF(D26="","",IFERROR(SUBSTITUTE(D26,"::",REPT(":0000",8-(IF(FIND("::",D26)&gt;0,LEN(D26)-LEN(SUBSTITUTE(D26,":","")))/LEN(":")))&amp;":"),D26)),":","*",3))))),4)&amp;":"&amp;DEC2HEX(_xlfn.BITOR(_xlfn.BITXOR(HEX2DEC(DEC2HEX(IF(E26-64=16,65535,IF(E26-64=15,65534,IF(E26-64=14,65532,IF(E26-64=13,65528,IF(E26-64=12,65520,IF(E26-64=11,65504,IF(E26-64=10,65472,IF(E26-64=9,65408,IF(E26-64=8,65280,IF(E26-64=7,65024,IF(E26-64=6,64512,IF(E26-64=5,63488,IF(E26-64=4,61440,IF(E26-64=3,57344,IF(E26-64=2,49152,IF(E26-64=1,32768,IF(E26&gt;80,65535,"0"))))))))))))))))),4)),65535),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4))+1,FIND("*",SUBSTITUTE(IF(D26="","",IFERROR(SUBSTITUTE(D26,"::",REPT(":0000",8-(IF(FIND("::",D26)&gt;0,LEN(D26)-LEN(SUBSTITUTE(D26,":","")))/LEN(":")))&amp;":"),D26)),":","*",5))-1-FIND("*",SUBSTITUTE(IF(D26="","",IFERROR(SUBSTITUTE(D26,"::",REPT(":0000",8-(IF(FIND("::",D26)&gt;0,LEN(D26)-LEN(SUBSTITUTE(D26,":","")))/LEN(":")))&amp;":"),D26)),":","*",4))))),4)&amp;":"&amp;DEC2HEX(_xlfn.BITOR(_xlfn.BITXOR(HEX2DEC(DEC2HEX(IF(E26-80=16,65535,IF(E26-80=15,65534,IF(E26-80=14,65532,IF(E26-80=13,65528,IF(E26-80=12,65520,IF(E26-80=11,65504,IF(E26-80=10,65472,IF(E26-80=9,65408,IF(E26-80=8,65280,IF(E26-80=7,65024,IF(E26-80=6,64512,IF(E26-80=5,63488,IF(E26-80=4,61440,IF(E26-80=3,57344,IF(E26-80=2,49152,IF(E26-80=1,32768,IF(E26&gt;96,65535,"0"))))))))))))))))),4)),65535),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5))+1,FIND("*",SUBSTITUTE(IF(D26="","",IFERROR(SUBSTITUTE(D26,"::",REPT(":0000",8-(IF(FIND("::",D26)&gt;0,LEN(D26)-LEN(SUBSTITUTE(D26,":","")))/LEN(":")))&amp;":"),D26)),":","*",6))-1-FIND("*",SUBSTITUTE(IF(D26="","",IFERROR(SUBSTITUTE(D26,"::",REPT(":0000",8-(IF(FIND("::",D26)&gt;0,LEN(D26)-LEN(SUBSTITUTE(D26,":","")))/LEN(":")))&amp;":"),D26)),":","*",5))))),4)&amp;":"&amp;DEC2HEX(_xlfn.BITOR(_xlfn.BITXOR(HEX2DEC(DEC2HEX(IF(E26-96=16,65535,IF(E26-96=15,65534,IF(E26-96=14,65532,IF(E26-96=13,65528,IF(E26-96=12,65520,IF(E26-96=11,65504,IF(E26-96=10,65472,IF(E26-96=9,65408,IF(E26-96=8,65280,IF(E26-96=7,65024,IF(E26-96=6,64512,IF(E26-96=5,63488,IF(E26-96=4,61440,IF(E26-96=3,57344,IF(E26-96=2,49152,IF(E26-96=1,32768,IF(E26&gt;112,65535,"0"))))))))))))))))),4)),65535),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6))+1,FIND("*",SUBSTITUTE(IF(D26="","",IFERROR(SUBSTITUTE(D26,"::",REPT(":0000",8-(IF(FIND("::",D26)&gt;0,LEN(D26)-LEN(SUBSTITUTE(D26,":","")))/LEN(":")))&amp;":"),D26)),":","*",7))-1-FIND("*",SUBSTITUTE(IF(D26="","",IFERROR(SUBSTITUTE(D26,"::",REPT(":0000",8-(IF(FIND("::",D26)&gt;0,LEN(D26)-LEN(SUBSTITUTE(D26,":","")))/LEN(":")))&amp;":"),D26)),":","*",6))))),4)&amp;":"&amp;DEC2HEX(_xlfn.BITOR(_xlfn.BITXOR(HEX2DEC(DEC2HEX(IF(E26-112=16,65535,IF(E26-112=15,65534,IF(E26-112=14,65532,IF(E26-112=13,65528,IF(E26-112=12,65520,IF(E26-112=11,65504,IF(E26-112=10,65472,IF(E26-112=9,65408,IF(E26-112=8,65280,IF(E26-112=7,65024,IF(E26-112=6,64512,IF(E26-112=5,63488,IF(E26-112=4,61440,IF(E26-112=3,57344,IF(E26-112=2,49152,IF(E26-112=1,32768,IF(E26&gt;128,65535,"0"))))))))))))))))),4)),65535),HEX2DEC(MID(IF(D26="","",IFERROR(SUBSTITUTE(D26,"::",REPT(":0000",8-(IF(FIND("::",D26)&gt;0,LEN(D26)-LEN(SUBSTITUTE(D26,":","")))/LEN(":")))&amp;":"),D26)),FIND("*",SUBSTITUTE(IF(D26="","",IFERROR(SUBSTITUTE(D26,"::",REPT(":0000",8-(IF(FIND("::",D26)&gt;0,LEN(D26)-LEN(SUBSTITUTE(D26,":","")))/LEN(":")))&amp;":"),D26)),":","*",7))+1,LEN(IF(D26="","",IFERROR(SUBSTITUTE(D26,"::",REPT(":0000",8-(IF(FIND("::",D26)&gt;0,LEN(D26)-LEN(SUBSTITUTE(D26,":","")))/LEN(":")))&amp;":"),D26)))-FIND("*",SUBSTITUTE(IF(D26="","",IFERROR(SUBSTITUTE(D26,"::",REPT(":0000",8-(IF(FIND("::",D26)&gt;0,LEN(D26)-LEN(SUBSTITUTE(D26,":","")))/LEN(":")))&amp;":"),D26)),":","*",7))))),4),""),""),"ERROR")</f>
        <v/>
      </c>
      <c r="H26" s="13" t="str">
        <f t="shared" ref="H26:H36" si="10">IFERROR(IF(E26&lt;&gt;"",2^(128-E26)/2^64,""),"ERROR")</f>
        <v/>
      </c>
      <c r="I26" s="19"/>
    </row>
    <row r="27" spans="1:9" x14ac:dyDescent="0.15">
      <c r="A27" s="9"/>
      <c r="B27" s="9"/>
      <c r="C27" s="19"/>
      <c r="D27" s="19"/>
      <c r="E27" s="22"/>
      <c r="F27" s="16" t="str">
        <f t="shared" si="8"/>
        <v/>
      </c>
      <c r="G27" s="16" t="str">
        <f t="shared" si="9"/>
        <v/>
      </c>
      <c r="H27" s="13" t="str">
        <f t="shared" si="10"/>
        <v/>
      </c>
      <c r="I27" s="19"/>
    </row>
    <row r="28" spans="1:9" x14ac:dyDescent="0.15">
      <c r="A28" s="9"/>
      <c r="B28" s="9"/>
      <c r="C28" s="19"/>
      <c r="D28" s="19"/>
      <c r="E28" s="22"/>
      <c r="F28" s="16" t="str">
        <f t="shared" si="8"/>
        <v/>
      </c>
      <c r="G28" s="16" t="str">
        <f t="shared" si="9"/>
        <v/>
      </c>
      <c r="H28" s="13" t="str">
        <f t="shared" si="10"/>
        <v/>
      </c>
      <c r="I28" s="19"/>
    </row>
    <row r="29" spans="1:9" x14ac:dyDescent="0.15">
      <c r="A29" s="9"/>
      <c r="B29" s="9"/>
      <c r="C29" s="19"/>
      <c r="D29" s="19"/>
      <c r="E29" s="22"/>
      <c r="F29" s="16" t="str">
        <f t="shared" si="8"/>
        <v/>
      </c>
      <c r="G29" s="16" t="str">
        <f t="shared" si="9"/>
        <v/>
      </c>
      <c r="H29" s="13" t="str">
        <f t="shared" si="10"/>
        <v/>
      </c>
      <c r="I29" s="19"/>
    </row>
    <row r="30" spans="1:9" x14ac:dyDescent="0.15">
      <c r="A30" s="33"/>
      <c r="B30" s="33"/>
      <c r="C30" s="33"/>
      <c r="D30" s="34"/>
      <c r="E30" s="34"/>
      <c r="F30" s="16" t="str">
        <f t="shared" si="8"/>
        <v/>
      </c>
      <c r="G30" s="16" t="str">
        <f t="shared" si="9"/>
        <v/>
      </c>
      <c r="H30" s="13" t="str">
        <f t="shared" si="10"/>
        <v/>
      </c>
      <c r="I30" s="19"/>
    </row>
    <row r="31" spans="1:9" x14ac:dyDescent="0.15">
      <c r="A31" s="33"/>
      <c r="B31" s="33"/>
      <c r="C31" s="33"/>
      <c r="D31" s="34"/>
      <c r="E31" s="34"/>
      <c r="F31" s="16" t="str">
        <f t="shared" si="8"/>
        <v/>
      </c>
      <c r="G31" s="16" t="str">
        <f t="shared" si="9"/>
        <v/>
      </c>
      <c r="H31" s="13" t="str">
        <f t="shared" si="10"/>
        <v/>
      </c>
      <c r="I31" s="19"/>
    </row>
    <row r="32" spans="1:9" x14ac:dyDescent="0.15">
      <c r="A32" s="33"/>
      <c r="B32" s="33"/>
      <c r="C32" s="33"/>
      <c r="D32" s="34"/>
      <c r="E32" s="34"/>
      <c r="F32" s="16" t="str">
        <f t="shared" si="8"/>
        <v/>
      </c>
      <c r="G32" s="16" t="str">
        <f t="shared" si="9"/>
        <v/>
      </c>
      <c r="H32" s="13" t="str">
        <f t="shared" si="10"/>
        <v/>
      </c>
      <c r="I32" s="19"/>
    </row>
    <row r="33" spans="1:9" x14ac:dyDescent="0.15">
      <c r="A33" s="33"/>
      <c r="B33" s="33"/>
      <c r="C33" s="33"/>
      <c r="D33" s="34"/>
      <c r="E33" s="34"/>
      <c r="F33" s="16" t="str">
        <f t="shared" si="8"/>
        <v/>
      </c>
      <c r="G33" s="16" t="str">
        <f t="shared" si="9"/>
        <v/>
      </c>
      <c r="H33" s="13" t="str">
        <f t="shared" si="10"/>
        <v/>
      </c>
      <c r="I33" s="19"/>
    </row>
    <row r="34" spans="1:9" x14ac:dyDescent="0.15">
      <c r="A34" s="33"/>
      <c r="B34" s="33"/>
      <c r="C34" s="33"/>
      <c r="D34" s="34"/>
      <c r="E34" s="34"/>
      <c r="F34" s="16" t="str">
        <f t="shared" si="8"/>
        <v/>
      </c>
      <c r="G34" s="16" t="str">
        <f t="shared" si="9"/>
        <v/>
      </c>
      <c r="H34" s="13" t="str">
        <f t="shared" si="10"/>
        <v/>
      </c>
      <c r="I34" s="19"/>
    </row>
    <row r="35" spans="1:9" x14ac:dyDescent="0.15">
      <c r="A35" s="33"/>
      <c r="B35" s="33"/>
      <c r="C35" s="33"/>
      <c r="D35" s="34"/>
      <c r="E35" s="34"/>
      <c r="F35" s="16" t="str">
        <f t="shared" si="8"/>
        <v/>
      </c>
      <c r="G35" s="16" t="str">
        <f t="shared" si="9"/>
        <v/>
      </c>
      <c r="H35" s="13" t="str">
        <f t="shared" si="10"/>
        <v/>
      </c>
      <c r="I35" s="19"/>
    </row>
    <row r="36" spans="1:9" x14ac:dyDescent="0.15">
      <c r="A36" s="33"/>
      <c r="B36" s="33"/>
      <c r="C36" s="33"/>
      <c r="D36" s="34"/>
      <c r="E36" s="34"/>
      <c r="F36" s="16" t="str">
        <f t="shared" si="8"/>
        <v/>
      </c>
      <c r="G36" s="16" t="str">
        <f t="shared" si="9"/>
        <v/>
      </c>
      <c r="H36" s="13" t="str">
        <f t="shared" si="10"/>
        <v/>
      </c>
      <c r="I36" s="19"/>
    </row>
    <row r="37" spans="1:9" x14ac:dyDescent="0.15">
      <c r="A37" s="33"/>
      <c r="B37" s="33"/>
      <c r="C37" s="33"/>
      <c r="D37" s="34"/>
      <c r="E37" s="34"/>
      <c r="F37" s="16" t="str">
        <f t="shared" ref="F37:F44" si="11">IFERROR(IF(D37&lt;&gt;"",IF(E37&lt;&gt;"",DEC2HEX(_xlfn.BITAND(HEX2DEC(LEFT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1))-1)),HEX2DEC(DEC2HEX(IF(E37=16,65535,IF(E37=15,65534,IF(E37=14,65532,IF(E37=13,65528,IF(E37=12,65520,IF(E37=11,65504,IF(E37=10,65472,IF(E37=9,65408,IF(E37=8,65280,IF(E37=7,65024,IF(E37=6,64512,IF(E37=5,63488,IF(E37=4,61440,IF(E37=3,57344,IF(E37=2,49152,IF(E37=1,32768,IF(E37&gt;16,65535,"0"))))))))))))))))),4))),4)&amp;":"&amp;DEC2HEX(_xlfn.BITAND(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1))+1,FIND("*",SUBSTITUTE(IF(D37="","",IFERROR(SUBSTITUTE(D37,"::",REPT(":0000",8-(IF(FIND("::",D37)&gt;0,LEN(D37)-LEN(SUBSTITUTE(D37,":","")))/LEN(":")))&amp;":"),D37)),":","*",2))-1-FIND("*",SUBSTITUTE(IF(D37="","",IFERROR(SUBSTITUTE(D37,"::",REPT(":0000",8-(IF(FIND("::",D37)&gt;0,LEN(D37)-LEN(SUBSTITUTE(D37,":","")))/LEN(":")))&amp;":"),D37)),":","*",1)))),HEX2DEC(DEC2HEX(IF(E37-16=16,65535,IF(E37-16=15,65534,IF(E37-16=14,65532,IF(E37-16=13,65528,IF(E37-16=12,65520,IF(E37-16=11,65504,IF(E37-16=10,65472,IF(E37-16=9,65408,IF(E37-16=8,65280,IF(E37-16=7,65024,IF(E37-16=6,64512,IF(E37-16=5,63488,IF(E37-16=4,61440,IF(E37-16=3,57344,IF(E37-16=2,49152,IF(E37-16=1,32768,IF(E37&gt;32,65535,"0"))))))))))))))))),4))),4)&amp;":"&amp;DEC2HEX(_xlfn.BITAND(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2))+1,FIND("*",SUBSTITUTE(IF(D37="","",IFERROR(SUBSTITUTE(D37,"::",REPT(":0000",8-(IF(FIND("::",D37)&gt;0,LEN(D37)-LEN(SUBSTITUTE(D37,":","")))/LEN(":")))&amp;":"),D37)),":","*",3))-1-FIND("*",SUBSTITUTE(IF(D37="","",IFERROR(SUBSTITUTE(D37,"::",REPT(":0000",8-(IF(FIND("::",D37)&gt;0,LEN(D37)-LEN(SUBSTITUTE(D37,":","")))/LEN(":")))&amp;":"),D37)),":","*",2)))),HEX2DEC(DEC2HEX(IF(E37-32=16,65535,IF(E37-32=15,65534,IF(E37-32=14,65532,IF(E37-32=13,65528,IF(E37-32=12,65520,IF(E37-32=11,65504,IF(E37-32=10,65472,IF(E37-32=9,65408,IF(E37-32=8,65280,IF(E37-32=7,65024,IF(E37-32=6,64512,IF(E37-32=5,63488,IF(E37-32=4,61440,IF(E37-32=3,57344,IF(E37-32=2,49152,IF(E37-32=1,32768,IF(E37&gt;48,65535,"0"))))))))))))))))),4))),4)&amp;":"&amp;DEC2HEX(_xlfn.BITAND(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3))+1,FIND("*",SUBSTITUTE(IF(D37="","",IFERROR(SUBSTITUTE(D37,"::",REPT(":0000",8-(IF(FIND("::",D37)&gt;0,LEN(D37)-LEN(SUBSTITUTE(D37,":","")))/LEN(":")))&amp;":"),D37)),":","*",4))-1-FIND("*",SUBSTITUTE(IF(D37="","",IFERROR(SUBSTITUTE(D37,"::",REPT(":0000",8-(IF(FIND("::",D37)&gt;0,LEN(D37)-LEN(SUBSTITUTE(D37,":","")))/LEN(":")))&amp;":"),D37)),":","*",3)))),HEX2DEC(DEC2HEX(IF(E37-48=16,65535,IF(E37-48=15,65534,IF(E37-48=14,65532,IF(E37-48=13,65528,IF(E37-48=12,65520,IF(E37-48=11,65504,IF(E37-48=10,65472,IF(E37-48=9,65408,IF(E37-48=8,65280,IF(E37-48=7,65024,IF(E37-48=6,64512,IF(E37-48=5,63488,IF(E37-48=4,61440,IF(E37-48=3,57344,IF(E37-48=2,49152,IF(E37-48=1,32768,IF(E37&gt;64,65535,"0"))))))))))))))))),4))),4)&amp;":"&amp;DEC2HEX(_xlfn.BITAND(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4))+1,FIND("*",SUBSTITUTE(IF(D37="","",IFERROR(SUBSTITUTE(D37,"::",REPT(":0000",8-(IF(FIND("::",D37)&gt;0,LEN(D37)-LEN(SUBSTITUTE(D37,":","")))/LEN(":")))&amp;":"),D37)),":","*",5))-1-FIND("*",SUBSTITUTE(IF(D37="","",IFERROR(SUBSTITUTE(D37,"::",REPT(":0000",8-(IF(FIND("::",D37)&gt;0,LEN(D37)-LEN(SUBSTITUTE(D37,":","")))/LEN(":")))&amp;":"),D37)),":","*",4)))),HEX2DEC(DEC2HEX(IF(E37-64=16,65535,IF(E37-64=15,65534,IF(E37-64=14,65532,IF(E37-64=13,65528,IF(E37-64=12,65520,IF(E37-64=11,65504,IF(E37-64=10,65472,IF(E37-64=9,65408,IF(E37-64=8,65280,IF(E37-64=7,65024,IF(E37-64=6,64512,IF(E37-64=5,63488,IF(E37-64=4,61440,IF(E37-64=3,57344,IF(E37-64=2,49152,IF(E37-64=1,32768,IF(E37&gt;80,65535,"0"))))))))))))))))),4))),4)&amp;":"&amp;DEC2HEX(_xlfn.BITAND(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5))+1,FIND("*",SUBSTITUTE(IF(D37="","",IFERROR(SUBSTITUTE(D37,"::",REPT(":0000",8-(IF(FIND("::",D37)&gt;0,LEN(D37)-LEN(SUBSTITUTE(D37,":","")))/LEN(":")))&amp;":"),D37)),":","*",6))-1-FIND("*",SUBSTITUTE(IF(D37="","",IFERROR(SUBSTITUTE(D37,"::",REPT(":0000",8-(IF(FIND("::",D37)&gt;0,LEN(D37)-LEN(SUBSTITUTE(D37,":","")))/LEN(":")))&amp;":"),D37)),":","*",5)))),HEX2DEC(DEC2HEX(IF(E37-80=16,65535,IF(E37-80=15,65534,IF(E37-80=14,65532,IF(E37-80=13,65528,IF(E37-80=12,65520,IF(E37-80=11,65504,IF(E37-80=10,65472,IF(E37-80=9,65408,IF(E37-80=8,65280,IF(E37-80=7,65024,IF(E37-80=6,64512,IF(E37-80=5,63488,IF(E37-80=4,61440,IF(E37-80=3,57344,IF(E37-80=2,49152,IF(E37-80=1,32768,IF(E37&gt;96,65535,"0"))))))))))))))))),4))),4)&amp;":"&amp;DEC2HEX(_xlfn.BITAND(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6))+1,FIND("*",SUBSTITUTE(IF(D37="","",IFERROR(SUBSTITUTE(D37,"::",REPT(":0000",8-(IF(FIND("::",D37)&gt;0,LEN(D37)-LEN(SUBSTITUTE(D37,":","")))/LEN(":")))&amp;":"),D37)),":","*",7))-1-FIND("*",SUBSTITUTE(IF(D37="","",IFERROR(SUBSTITUTE(D37,"::",REPT(":0000",8-(IF(FIND("::",D37)&gt;0,LEN(D37)-LEN(SUBSTITUTE(D37,":","")))/LEN(":")))&amp;":"),D37)),":","*",6)))),HEX2DEC(DEC2HEX(IF(E37-96=16,65535,IF(E37-96=15,65534,IF(E37-96=14,65532,IF(E37-96=13,65528,IF(E37-96=12,65520,IF(E37-96=11,65504,IF(E37-96=10,65472,IF(E37-96=9,65408,IF(E37-96=8,65280,IF(E37-96=7,65024,IF(E37-96=6,64512,IF(E37-96=5,63488,IF(E37-96=4,61440,IF(E37-96=3,57344,IF(E37-96=2,49152,IF(E37-96=1,32768,IF(E37&gt;112,65535,"0"))))))))))))))))),4))),4)&amp;":"&amp;DEC2HEX(_xlfn.BITAND(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7))+1,LEN(IF(D37="","",IFERROR(SUBSTITUTE(D37,"::",REPT(":0000",8-(IF(FIND("::",D37)&gt;0,LEN(D37)-LEN(SUBSTITUTE(D37,":","")))/LEN(":")))&amp;":"),D37)))-FIND("*",SUBSTITUTE(IF(D37="","",IFERROR(SUBSTITUTE(D37,"::",REPT(":0000",8-(IF(FIND("::",D37)&gt;0,LEN(D37)-LEN(SUBSTITUTE(D37,":","")))/LEN(":")))&amp;":"),D37)),":","*",7)))),HEX2DEC(DEC2HEX(IF(E37-112=16,65535,IF(E37-112=15,65534,IF(E37-112=14,65532,IF(E37-112=13,65528,IF(E37-112=12,65520,IF(E37-112=11,65504,IF(E37-112=10,65472,IF(E37-112=9,65408,IF(E37-112=8,65280,IF(E37-112=7,65024,IF(E37-112=6,64512,IF(E37-112=5,63488,IF(E37-112=4,61440,IF(E37-112=3,57344,IF(E37-112=2,49152,IF(E37-112=1,32768,IF(E37&gt;128,65535,"0"))))))))))))))))),4))),4),""),""),"ERROR")</f>
        <v/>
      </c>
      <c r="G37" s="16" t="str">
        <f t="shared" ref="G37:G44" si="12">IFERROR(IF(D37&lt;&gt;"",IF(E37&lt;&gt;"",DEC2HEX(_xlfn.BITOR(_xlfn.BITXOR(HEX2DEC(DEC2HEX(IF(E37=16,65535,IF(E37=15,65534,IF(E37=14,65532,IF(E37=13,65528,IF(E37=12,65520,IF(E37=11,65504,IF(E37=10,65472,IF(E37=9,65408,IF(E37=8,65280,IF(E37=7,65024,IF(E37=6,64512,IF(E37=5,63488,IF(E37=4,61440,IF(E37=3,57344,IF(E37=2,49152,IF(E37=1,32768,IF(E37&gt;16,65535,"0"))))))))))))))))),4)),65535),HEX2DEC(LEFT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1))-1))),4)&amp;":"&amp;DEC2HEX(_xlfn.BITOR(_xlfn.BITXOR(HEX2DEC(DEC2HEX(IF(E37-16=16,65535,IF(E37-16=15,65534,IF(E37-16=14,65532,IF(E37-16=13,65528,IF(E37-16=12,65520,IF(E37-16=11,65504,IF(E37-16=10,65472,IF(E37-16=9,65408,IF(E37-16=8,65280,IF(E37-16=7,65024,IF(E37-16=6,64512,IF(E37-16=5,63488,IF(E37-16=4,61440,IF(E37-16=3,57344,IF(E37-16=2,49152,IF(E37-16=1,32768,IF(E37&gt;32,65535,"0"))))))))))))))))),4)),65535),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1))+1,FIND("*",SUBSTITUTE(IF(D37="","",IFERROR(SUBSTITUTE(D37,"::",REPT(":0000",8-(IF(FIND("::",D37)&gt;0,LEN(D37)-LEN(SUBSTITUTE(D37,":","")))/LEN(":")))&amp;":"),D37)),":","*",2))-1-FIND("*",SUBSTITUTE(IF(D37="","",IFERROR(SUBSTITUTE(D37,"::",REPT(":0000",8-(IF(FIND("::",D37)&gt;0,LEN(D37)-LEN(SUBSTITUTE(D37,":","")))/LEN(":")))&amp;":"),D37)),":","*",1))))),4)&amp;":"&amp;DEC2HEX(_xlfn.BITOR(_xlfn.BITXOR(HEX2DEC(DEC2HEX(IF(E37-32=16,65535,IF(E37-32=15,65534,IF(E37-32=14,65532,IF(E37-32=13,65528,IF(E37-32=12,65520,IF(E37-32=11,65504,IF(E37-32=10,65472,IF(E37-32=9,65408,IF(E37-32=8,65280,IF(E37-32=7,65024,IF(E37-32=6,64512,IF(E37-32=5,63488,IF(E37-32=4,61440,IF(E37-32=3,57344,IF(E37-32=2,49152,IF(E37-32=1,32768,IF(E37&gt;48,65535,"0"))))))))))))))))),4)),65535),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2))+1,FIND("*",SUBSTITUTE(IF(D37="","",IFERROR(SUBSTITUTE(D37,"::",REPT(":0000",8-(IF(FIND("::",D37)&gt;0,LEN(D37)-LEN(SUBSTITUTE(D37,":","")))/LEN(":")))&amp;":"),D37)),":","*",3))-1-FIND("*",SUBSTITUTE(IF(D37="","",IFERROR(SUBSTITUTE(D37,"::",REPT(":0000",8-(IF(FIND("::",D37)&gt;0,LEN(D37)-LEN(SUBSTITUTE(D37,":","")))/LEN(":")))&amp;":"),D37)),":","*",2))))),4)&amp;":"&amp;DEC2HEX(_xlfn.BITOR(_xlfn.BITXOR(HEX2DEC(DEC2HEX(IF(E37-48=16,65535,IF(E37-48=15,65534,IF(E37-48=14,65532,IF(E37-48=13,65528,IF(E37-48=12,65520,IF(E37-48=11,65504,IF(E37-48=10,65472,IF(E37-48=9,65408,IF(E37-48=8,65280,IF(E37-48=7,65024,IF(E37-48=6,64512,IF(E37-48=5,63488,IF(E37-48=4,61440,IF(E37-48=3,57344,IF(E37-48=2,49152,IF(E37-48=1,32768,IF(E37&gt;64,65535,"0"))))))))))))))))),4)),65535),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3))+1,FIND("*",SUBSTITUTE(IF(D37="","",IFERROR(SUBSTITUTE(D37,"::",REPT(":0000",8-(IF(FIND("::",D37)&gt;0,LEN(D37)-LEN(SUBSTITUTE(D37,":","")))/LEN(":")))&amp;":"),D37)),":","*",4))-1-FIND("*",SUBSTITUTE(IF(D37="","",IFERROR(SUBSTITUTE(D37,"::",REPT(":0000",8-(IF(FIND("::",D37)&gt;0,LEN(D37)-LEN(SUBSTITUTE(D37,":","")))/LEN(":")))&amp;":"),D37)),":","*",3))))),4)&amp;":"&amp;DEC2HEX(_xlfn.BITOR(_xlfn.BITXOR(HEX2DEC(DEC2HEX(IF(E37-64=16,65535,IF(E37-64=15,65534,IF(E37-64=14,65532,IF(E37-64=13,65528,IF(E37-64=12,65520,IF(E37-64=11,65504,IF(E37-64=10,65472,IF(E37-64=9,65408,IF(E37-64=8,65280,IF(E37-64=7,65024,IF(E37-64=6,64512,IF(E37-64=5,63488,IF(E37-64=4,61440,IF(E37-64=3,57344,IF(E37-64=2,49152,IF(E37-64=1,32768,IF(E37&gt;80,65535,"0"))))))))))))))))),4)),65535),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4))+1,FIND("*",SUBSTITUTE(IF(D37="","",IFERROR(SUBSTITUTE(D37,"::",REPT(":0000",8-(IF(FIND("::",D37)&gt;0,LEN(D37)-LEN(SUBSTITUTE(D37,":","")))/LEN(":")))&amp;":"),D37)),":","*",5))-1-FIND("*",SUBSTITUTE(IF(D37="","",IFERROR(SUBSTITUTE(D37,"::",REPT(":0000",8-(IF(FIND("::",D37)&gt;0,LEN(D37)-LEN(SUBSTITUTE(D37,":","")))/LEN(":")))&amp;":"),D37)),":","*",4))))),4)&amp;":"&amp;DEC2HEX(_xlfn.BITOR(_xlfn.BITXOR(HEX2DEC(DEC2HEX(IF(E37-80=16,65535,IF(E37-80=15,65534,IF(E37-80=14,65532,IF(E37-80=13,65528,IF(E37-80=12,65520,IF(E37-80=11,65504,IF(E37-80=10,65472,IF(E37-80=9,65408,IF(E37-80=8,65280,IF(E37-80=7,65024,IF(E37-80=6,64512,IF(E37-80=5,63488,IF(E37-80=4,61440,IF(E37-80=3,57344,IF(E37-80=2,49152,IF(E37-80=1,32768,IF(E37&gt;96,65535,"0"))))))))))))))))),4)),65535),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5))+1,FIND("*",SUBSTITUTE(IF(D37="","",IFERROR(SUBSTITUTE(D37,"::",REPT(":0000",8-(IF(FIND("::",D37)&gt;0,LEN(D37)-LEN(SUBSTITUTE(D37,":","")))/LEN(":")))&amp;":"),D37)),":","*",6))-1-FIND("*",SUBSTITUTE(IF(D37="","",IFERROR(SUBSTITUTE(D37,"::",REPT(":0000",8-(IF(FIND("::",D37)&gt;0,LEN(D37)-LEN(SUBSTITUTE(D37,":","")))/LEN(":")))&amp;":"),D37)),":","*",5))))),4)&amp;":"&amp;DEC2HEX(_xlfn.BITOR(_xlfn.BITXOR(HEX2DEC(DEC2HEX(IF(E37-96=16,65535,IF(E37-96=15,65534,IF(E37-96=14,65532,IF(E37-96=13,65528,IF(E37-96=12,65520,IF(E37-96=11,65504,IF(E37-96=10,65472,IF(E37-96=9,65408,IF(E37-96=8,65280,IF(E37-96=7,65024,IF(E37-96=6,64512,IF(E37-96=5,63488,IF(E37-96=4,61440,IF(E37-96=3,57344,IF(E37-96=2,49152,IF(E37-96=1,32768,IF(E37&gt;112,65535,"0"))))))))))))))))),4)),65535),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6))+1,FIND("*",SUBSTITUTE(IF(D37="","",IFERROR(SUBSTITUTE(D37,"::",REPT(":0000",8-(IF(FIND("::",D37)&gt;0,LEN(D37)-LEN(SUBSTITUTE(D37,":","")))/LEN(":")))&amp;":"),D37)),":","*",7))-1-FIND("*",SUBSTITUTE(IF(D37="","",IFERROR(SUBSTITUTE(D37,"::",REPT(":0000",8-(IF(FIND("::",D37)&gt;0,LEN(D37)-LEN(SUBSTITUTE(D37,":","")))/LEN(":")))&amp;":"),D37)),":","*",6))))),4)&amp;":"&amp;DEC2HEX(_xlfn.BITOR(_xlfn.BITXOR(HEX2DEC(DEC2HEX(IF(E37-112=16,65535,IF(E37-112=15,65534,IF(E37-112=14,65532,IF(E37-112=13,65528,IF(E37-112=12,65520,IF(E37-112=11,65504,IF(E37-112=10,65472,IF(E37-112=9,65408,IF(E37-112=8,65280,IF(E37-112=7,65024,IF(E37-112=6,64512,IF(E37-112=5,63488,IF(E37-112=4,61440,IF(E37-112=3,57344,IF(E37-112=2,49152,IF(E37-112=1,32768,IF(E37&gt;128,65535,"0"))))))))))))))))),4)),65535),HEX2DEC(MID(IF(D37="","",IFERROR(SUBSTITUTE(D37,"::",REPT(":0000",8-(IF(FIND("::",D37)&gt;0,LEN(D37)-LEN(SUBSTITUTE(D37,":","")))/LEN(":")))&amp;":"),D37)),FIND("*",SUBSTITUTE(IF(D37="","",IFERROR(SUBSTITUTE(D37,"::",REPT(":0000",8-(IF(FIND("::",D37)&gt;0,LEN(D37)-LEN(SUBSTITUTE(D37,":","")))/LEN(":")))&amp;":"),D37)),":","*",7))+1,LEN(IF(D37="","",IFERROR(SUBSTITUTE(D37,"::",REPT(":0000",8-(IF(FIND("::",D37)&gt;0,LEN(D37)-LEN(SUBSTITUTE(D37,":","")))/LEN(":")))&amp;":"),D37)))-FIND("*",SUBSTITUTE(IF(D37="","",IFERROR(SUBSTITUTE(D37,"::",REPT(":0000",8-(IF(FIND("::",D37)&gt;0,LEN(D37)-LEN(SUBSTITUTE(D37,":","")))/LEN(":")))&amp;":"),D37)),":","*",7))))),4),""),""),"ERROR")</f>
        <v/>
      </c>
      <c r="H37" s="13" t="str">
        <f t="shared" ref="H37:H44" si="13">IFERROR(IF(E37&lt;&gt;"",2^(128-E37)/2^64,""),"ERROR")</f>
        <v/>
      </c>
      <c r="I37" s="8"/>
    </row>
    <row r="38" spans="1:9" x14ac:dyDescent="0.15">
      <c r="A38" s="33"/>
      <c r="B38" s="33"/>
      <c r="C38" s="33"/>
      <c r="D38" s="34"/>
      <c r="E38" s="34"/>
      <c r="F38" s="16" t="str">
        <f t="shared" si="11"/>
        <v/>
      </c>
      <c r="G38" s="16" t="str">
        <f t="shared" si="12"/>
        <v/>
      </c>
      <c r="H38" s="13" t="str">
        <f t="shared" si="13"/>
        <v/>
      </c>
      <c r="I38" s="8"/>
    </row>
    <row r="39" spans="1:9" x14ac:dyDescent="0.15">
      <c r="F39" s="28" t="str">
        <f t="shared" si="11"/>
        <v/>
      </c>
      <c r="G39" s="28" t="str">
        <f t="shared" si="12"/>
        <v/>
      </c>
      <c r="H39" s="29" t="str">
        <f t="shared" si="13"/>
        <v/>
      </c>
    </row>
    <row r="40" spans="1:9" x14ac:dyDescent="0.15">
      <c r="F40" s="28" t="str">
        <f t="shared" si="11"/>
        <v/>
      </c>
      <c r="G40" s="28" t="str">
        <f t="shared" si="12"/>
        <v/>
      </c>
      <c r="H40" s="29" t="str">
        <f t="shared" si="13"/>
        <v/>
      </c>
    </row>
    <row r="41" spans="1:9" x14ac:dyDescent="0.15">
      <c r="F41" s="28" t="str">
        <f t="shared" si="11"/>
        <v/>
      </c>
      <c r="G41" s="28" t="str">
        <f t="shared" si="12"/>
        <v/>
      </c>
      <c r="H41" s="29" t="str">
        <f t="shared" si="13"/>
        <v/>
      </c>
    </row>
    <row r="42" spans="1:9" x14ac:dyDescent="0.15">
      <c r="F42" s="28" t="str">
        <f t="shared" si="11"/>
        <v/>
      </c>
      <c r="G42" s="28" t="str">
        <f t="shared" si="12"/>
        <v/>
      </c>
      <c r="H42" s="29" t="str">
        <f t="shared" si="13"/>
        <v/>
      </c>
    </row>
    <row r="43" spans="1:9" x14ac:dyDescent="0.15">
      <c r="F43" s="28" t="str">
        <f t="shared" si="11"/>
        <v/>
      </c>
      <c r="G43" s="28" t="str">
        <f t="shared" si="12"/>
        <v/>
      </c>
      <c r="H43" s="29" t="str">
        <f t="shared" si="13"/>
        <v/>
      </c>
    </row>
    <row r="44" spans="1:9" x14ac:dyDescent="0.15">
      <c r="F44" s="28" t="str">
        <f t="shared" si="11"/>
        <v/>
      </c>
      <c r="G44" s="28" t="str">
        <f t="shared" si="12"/>
        <v/>
      </c>
      <c r="H44" s="29" t="str">
        <f t="shared" si="13"/>
        <v/>
      </c>
    </row>
    <row r="56" spans="5:9" x14ac:dyDescent="0.15">
      <c r="E56" s="7"/>
      <c r="F56" s="7"/>
      <c r="G56" s="7"/>
      <c r="H56" s="7"/>
      <c r="I56" s="7"/>
    </row>
  </sheetData>
  <mergeCells count="10">
    <mergeCell ref="B7:C7"/>
    <mergeCell ref="B8:C8"/>
    <mergeCell ref="B9:C9"/>
    <mergeCell ref="B10:C10"/>
    <mergeCell ref="A1:B1"/>
    <mergeCell ref="C1:D1"/>
    <mergeCell ref="B3:C3"/>
    <mergeCell ref="B4:C4"/>
    <mergeCell ref="B5:C5"/>
    <mergeCell ref="B6:C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メイン</vt:lpstr>
      <vt:lpstr>IPv4NW</vt:lpstr>
      <vt:lpstr>IPv6NW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2020-07-08T14:40:03Z</dcterms:modified>
</cp:coreProperties>
</file>